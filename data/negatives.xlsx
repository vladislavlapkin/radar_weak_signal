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Негативы" sheetId="1" state="visible" r:id="rId3"/>
    <sheet name="Сводка" sheetId="2" state="visible" r:id="rId4"/>
    <sheet name="Как размечали" sheetId="3" state="visible" r:id="rId5"/>
  </sheets>
  <definedNames>
    <definedName function="false" hidden="true" localSheetId="0" name="_xlnm._FilterDatabase" vbProcedure="false">Негативы!$A$4:$L$57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<sst xmlns="http://schemas.openxmlformats.org/spreadsheetml/2006/main" count="477" uniqueCount="335">
  <si>
    <t xml:space="preserve">Отрицательные примеры к датасету организаторов: мейнстрим, хайп, шум</t>
  </si>
  <si>
    <t xml:space="preserve">Формат повторяет файл организаторов, добавлены колонка «Класс» и числовые шкалы. Все ссылки открыты и проверены 29 сентября 2026 года. Колонку «Почему не слабый сигнал» модели на вход не подавать: в ней содержится ответ.</t>
  </si>
  <si>
    <t xml:space="preserve">№</t>
  </si>
  <si>
    <t xml:space="preserve">Технология</t>
  </si>
  <si>
    <t xml:space="preserve">Область</t>
  </si>
  <si>
    <t xml:space="preserve">Класс</t>
  </si>
  <si>
    <t xml:space="preserve">Компании</t>
  </si>
  <si>
    <t xml:space="preserve">Почему не слабый сигнал</t>
  </si>
  <si>
    <t xml:space="preserve">Стадия развития</t>
  </si>
  <si>
    <t xml:space="preserve">Стадия (0–5)</t>
  </si>
  <si>
    <t xml:space="preserve">Тренд упоминаний</t>
  </si>
  <si>
    <t xml:space="preserve">Динамика (−1…3)</t>
  </si>
  <si>
    <t xml:space="preserve">Балл (стадия + динамика)</t>
  </si>
  <si>
    <t xml:space="preserve">Источники</t>
  </si>
  <si>
    <t xml:space="preserve">Машинное зрение для контроля качества на конвейере</t>
  </si>
  <si>
    <t xml:space="preserve">Индустриальный ИИ</t>
  </si>
  <si>
    <t xml:space="preserve">Мейнстрим</t>
  </si>
  <si>
    <t xml:space="preserve">Cognex, Keyence, Basler, Datalogic</t>
  </si>
  <si>
    <t xml:space="preserve">Рынок сформирован десятилетия назад: уже в 2006 году только в Северной Америке он оценивался в $1,5 млрд. Есть отраслевые ассоциации (AIA, EMVA) и интерфейсные стандарты Camera Link и CoaXPress, есть явные лидеры.</t>
  </si>
  <si>
    <t xml:space="preserve">Массовое внедрение</t>
  </si>
  <si>
    <t xml:space="preserve">Стабильный: технология давно в производстве, растёт только доля нейросетевых моделей внутри неё</t>
  </si>
  <si>
    <t xml:space="preserve">[Machine vision (Wikipedia)](https://en.wikipedia.org/wiki/Machine_vision)</t>
  </si>
  <si>
    <t xml:space="preserve">SCADA-системы диспетчерского управления</t>
  </si>
  <si>
    <t xml:space="preserve">Siemens (WinCC), AVEVA (Wonderware), Rockwell Automation, Schneider Electric</t>
  </si>
  <si>
    <t xml:space="preserve">Отраслевой стандарт де-факто с прописанными протоколами: IEC 61131-3, IEC 60870-5, DNP3. С 1998 года все крупные производители ПЛК поставляют интегрированные HMI/SCADA, технология стоит в энергетике, нефтегазе и водоснабжении.</t>
  </si>
  <si>
    <t xml:space="preserve">Массовое внедрение, отраслевой стандарт</t>
  </si>
  <si>
    <t xml:space="preserve">Стабильный: обсуждается в контексте кибербезопасности, а не новизны</t>
  </si>
  <si>
    <t xml:space="preserve">[SCADA (Wikipedia)](https://en.wikipedia.org/wiki/SCADA)</t>
  </si>
  <si>
    <t xml:space="preserve">MES — системы управления производством</t>
  </si>
  <si>
    <t xml:space="preserve">Siemens Opcenter, AVEVA, SAP, Dassault Systèmes</t>
  </si>
  <si>
    <t xml:space="preserve">Архитектура закреплена стандартом ANSI/ISA-95 ещё в 2000 году и уточнялась до 2013-го. Категория существует с 1990-х, рынок поделён между крупными вендорами ERP и АСУ ТП.</t>
  </si>
  <si>
    <t xml:space="preserve">Стабильный: новизна только в переезде в облако</t>
  </si>
  <si>
    <t xml:space="preserve">[Manufacturing execution system (Wikipedia)](https://en.wikipedia.org/wiki/Manufacturing_execution_system)</t>
  </si>
  <si>
    <t xml:space="preserve">OPC UA как протокол промышленной связности</t>
  </si>
  <si>
    <t xml:space="preserve">OPC Foundation, Siemens, Beckhoff, Rockwell Automation</t>
  </si>
  <si>
    <t xml:space="preserve">Открытый стандарт IEC 62541 опубликован 28 июля 2006 года, поддерживается более чем 60 типами промышленного оборудования, реализации есть на всех популярных языках. Это инфраструктурный слой, а не зарождающийся рынок.</t>
  </si>
  <si>
    <t xml:space="preserve">Отраслевой стандарт</t>
  </si>
  <si>
    <t xml:space="preserve">Стабильный: обсуждается как требование к оборудованию</t>
  </si>
  <si>
    <t xml:space="preserve">[OPC Unified Architecture (Wikipedia)](https://en.wikipedia.org/wiki/OPC_Unified_Architecture)</t>
  </si>
  <si>
    <t xml:space="preserve">Промышленные роботы-манипуляторы</t>
  </si>
  <si>
    <t xml:space="preserve">ABB, KUKA, FANUC, Yaskawa, Comau</t>
  </si>
  <si>
    <t xml:space="preserve">По данным Международной федерации робототехники, в 2024 году в мире работало около 4,66 млн промышленных роботов. Рынок поделён между несколькими производителями, безопасность закреплена отраслевыми стандартами.</t>
  </si>
  <si>
    <t xml:space="preserve">Стабильный: колебания вместе с инвестициями в производство</t>
  </si>
  <si>
    <t xml:space="preserve">[Industrial robot (Wikipedia)](https://en.wikipedia.org/wiki/Industrial_robot)</t>
  </si>
  <si>
    <t xml:space="preserve">Предиктивное обслуживание оборудования</t>
  </si>
  <si>
    <t xml:space="preserve">SKF, Siemens, GE Vernova, Bosch Rexroth</t>
  </si>
  <si>
    <t xml:space="preserve">Практика описана в учебниках и внедряется с 2000-х: например, горнодобывающая Boliden развернула комплексное решение ещё в 2010 году. Передача данных опирается на устоявшиеся протоколы HART, IEC 61850, OLE.</t>
  </si>
  <si>
    <t xml:space="preserve">Стабильный: спрос ровный, новизна только в отдельных подходах внутри</t>
  </si>
  <si>
    <t xml:space="preserve">[Predictive maintenance (Wikipedia)](https://en.wikipedia.org/wiki/Predictive_maintenance)</t>
  </si>
  <si>
    <t xml:space="preserve">Коллаборативные роботы (коботы)</t>
  </si>
  <si>
    <t xml:space="preserve">Роботы</t>
  </si>
  <si>
    <t xml:space="preserve">Universal Robots, Techman Robot, FANUC, Doosan Robotics</t>
  </si>
  <si>
    <t xml:space="preserve">Категория изобретена в 1996 году, а требования закреплены стандартом ISO/TS 15066:2016. Рынок сформирован, продаётся серийно через интеграторов, у покупателей есть бюджетная строка.</t>
  </si>
  <si>
    <t xml:space="preserve">Массовое внедрение, есть стандарт</t>
  </si>
  <si>
    <t xml:space="preserve">Стабильный: обсуждается как оборудование, а не как новость</t>
  </si>
  <si>
    <t xml:space="preserve">[Cobot (Wikipedia)](https://en.wikipedia.org/wiki/Cobot)</t>
  </si>
  <si>
    <t xml:space="preserve">Складские транспортные роботы AGV и AMR</t>
  </si>
  <si>
    <t xml:space="preserve">Amazon Robotics, Geek+, DHL, Swisslog</t>
  </si>
  <si>
    <t xml:space="preserve">Первый AGV вышел на рынок в 1950-х, в порту Роттердама автоматические тележки работают с 1993 года. Сегодня это стандартная часть распределительных центров, а не ранний рынок.</t>
  </si>
  <si>
    <t xml:space="preserve">Стабильный: новости про конкретные контракты, а не про технологию</t>
  </si>
  <si>
    <t xml:space="preserve">[Automated guided vehicle (Wikipedia)](https://en.wikipedia.org/wiki/Automated_guided_vehicle)</t>
  </si>
  <si>
    <t xml:space="preserve">Бытовые роботы-пылесосы</t>
  </si>
  <si>
    <t xml:space="preserve">iRobot, Roborock, Ecovacs, Dreame</t>
  </si>
  <si>
    <t xml:space="preserve">Массовый рынок с 2002 года, когда вышел Roomba; к 2021 году iRobot заявляла о более чем 40 млн проданных устройств. Категория потребительская, с ценовой конкуренцией и явными лидерами.</t>
  </si>
  <si>
    <t xml:space="preserve">Стабильный: обсуждаются модели и цены, а не технология</t>
  </si>
  <si>
    <t xml:space="preserve">[Robotic vacuum cleaner (Wikipedia)](https://en.wikipedia.org/wiki/Robotic_vacuum_cleaner)</t>
  </si>
  <si>
    <t xml:space="preserve">Хирургические роботы da Vinci</t>
  </si>
  <si>
    <t xml:space="preserve">Intuitive Surgical</t>
  </si>
  <si>
    <t xml:space="preserve">Система применяется в клиниках с 2000 года, по данным 2012 года с её помощью проведено около 200 тысяч операций. Рынок сформирован, есть один явный лидер и регуляторные допуски.</t>
  </si>
  <si>
    <t xml:space="preserve">Стабильный: обсуждается стоимость и конкуренты, а не новизна</t>
  </si>
  <si>
    <t xml:space="preserve">[da Vinci Surgical System (Wikipedia)](https://en.wikipedia.org/wiki/Da_Vinci_Surgical_System)</t>
  </si>
  <si>
    <t xml:space="preserve">ROS как программная платформа для роботов</t>
  </si>
  <si>
    <t xml:space="preserve">Open Robotics, NVIDIA, Bosch, Amazon Web Services</t>
  </si>
  <si>
    <t xml:space="preserve">Открытая платформа существует с 2007 года, с 2013-го её развитием занимается Open Robotics. Это инфраструктурный слой, на котором строят решения, а не самостоятельный зарождающийся рынок.</t>
  </si>
  <si>
    <t xml:space="preserve">Отраслевой стандарт де-факто</t>
  </si>
  <si>
    <t xml:space="preserve">Стабильный: обсуждаются версии и миграция на ROS 2</t>
  </si>
  <si>
    <t xml:space="preserve">[Robot Operating System (Wikipedia)](https://en.wikipedia.org/wiki/Robot_Operating_System)</t>
  </si>
  <si>
    <t xml:space="preserve">Kubernetes для оркестрации нагрузок</t>
  </si>
  <si>
    <t xml:space="preserve">Инфраструктура ИИ</t>
  </si>
  <si>
    <t xml:space="preserve">CNCF, Google, Red Hat, Amazon Web Services, Microsoft</t>
  </si>
  <si>
    <t xml:space="preserve">Проект вышел в 2014 году, с 2015-го развивается под CNCF, а в 2017-м все крупные облака добавили нативную поддержку. Это стандарт де-факто, на котором запускают в том числе обучение моделей.</t>
  </si>
  <si>
    <t xml:space="preserve">Стабильный: обсуждаются надстройки, а не сама технология</t>
  </si>
  <si>
    <t xml:space="preserve">[Kubernetes (Wikipedia)](https://en.wikipedia.org/wiki/Kubernetes)</t>
  </si>
  <si>
    <t xml:space="preserve">Память HBM для ускорителей ИИ</t>
  </si>
  <si>
    <t xml:space="preserve">SK hynix, Samsung Electronics, Micron Technology</t>
  </si>
  <si>
    <t xml:space="preserve">Стандарт JEDEC принят в октябре 2013 года, к апрелю 2025-го дошёл до HBM4. Производителей трое, спрос расписан контрактами, рынок поделён — это дефицитный товар, а не слабый сигнал.</t>
  </si>
  <si>
    <t xml:space="preserve">Растёт вместе со спросом на ускорители, но категория давно известна</t>
  </si>
  <si>
    <t xml:space="preserve">[High Bandwidth Memory (Wikipedia)](https://en.wikipedia.org/wiki/High_Bandwidth_Memory)</t>
  </si>
  <si>
    <t xml:space="preserve">Аппаратная виртуализация серверов</t>
  </si>
  <si>
    <t xml:space="preserve">VMware, Intel, AMD, Microsoft, проект KVM</t>
  </si>
  <si>
    <t xml:space="preserve">Массовой технология стала в 2005–2006 годах, когда Intel и AMD добавили аппаратную поддержку в процессоры. Сегодня это базовый слой любого дата-центра.</t>
  </si>
  <si>
    <t xml:space="preserve">Стабильный: обсуждается лицензирование, а не технология</t>
  </si>
  <si>
    <t xml:space="preserve">[Hardware virtualization (Wikipedia)](https://en.wikipedia.org/wiki/Hardware_virtualization)</t>
  </si>
  <si>
    <t xml:space="preserve">Объектное хранилище с S3-совместимым API</t>
  </si>
  <si>
    <t xml:space="preserve">Amazon Web Services, Cloudian, Wasabi, Backblaze, MinIO</t>
  </si>
  <si>
    <t xml:space="preserve">Сервис запущен 14 марта 2006 года; к 2025 году он хранит около 500 трлн объектов и обслуживает 200 млн запросов в секунду, а его API стал отраслевым стандартом с десятком совместимых реализаций.</t>
  </si>
  <si>
    <t xml:space="preserve">Стабильный: обсуждаются цены и совместимость</t>
  </si>
  <si>
    <t xml:space="preserve">[Amazon S3 (Wikipedia)](https://en.wikipedia.org/wiki/Amazon_S3)</t>
  </si>
  <si>
    <t xml:space="preserve">CUDA как среда обучения моделей</t>
  </si>
  <si>
    <t xml:space="preserve">NVIDIA</t>
  </si>
  <si>
    <t xml:space="preserve">Платформа вышла в 2007 году, а с 2015-го её развитие сосредоточено на машинном обучении. Это среда с одним доминирующим поставщиком и сформированной экосистемой, то есть противоположность слабому сигналу.</t>
  </si>
  <si>
    <t xml:space="preserve">Стабильный: обсуждается зависимость рынка от одного вендора</t>
  </si>
  <si>
    <t xml:space="preserve">[CUDA (Wikipedia)](https://en.wikipedia.org/wiki/CUDA)</t>
  </si>
  <si>
    <t xml:space="preserve">MLOps-платформы для вывода моделей в продакшн</t>
  </si>
  <si>
    <t xml:space="preserve">Databricks (MLflow), Google Vertex AI, Amazon SageMaker, Kubeflow</t>
  </si>
  <si>
    <t xml:space="preserve">Термин закрепился с середины 2010-х, практики описаны в учебниках, у всех облаков есть готовый продукт. Категория уже имеет бюджетную строку в компаниях.</t>
  </si>
  <si>
    <t xml:space="preserve">Стабильный: спор идёт о выборе платформы, а не о самой практике</t>
  </si>
  <si>
    <t xml:space="preserve">[MLOps (Wikipedia)](https://en.wikipedia.org/wiki/MLOps)</t>
  </si>
  <si>
    <t xml:space="preserve">Бесконтактные платежи по NFC</t>
  </si>
  <si>
    <t xml:space="preserve">Финтех</t>
  </si>
  <si>
    <t xml:space="preserve">Visa, Mastercard, Apple Pay, Google Pay, American Express</t>
  </si>
  <si>
    <t xml:space="preserve">Массовое распространение началось с 2007 года, технология опирается на стандарты ISO/IEC 14443 и EMV. Рынок поделён между платёжными системами, инфраструктура развёрнута повсеместно.</t>
  </si>
  <si>
    <t xml:space="preserve">Стабильный: обсуждаются лимиты и комиссии, а не технология</t>
  </si>
  <si>
    <t xml:space="preserve">[Contactless payment (Wikipedia)](https://en.wikipedia.org/wiki/Contactless_payment)</t>
  </si>
  <si>
    <t xml:space="preserve">3-D Secure 2 для подтверждения платежей</t>
  </si>
  <si>
    <t xml:space="preserve">EMVCo, Visa, Mastercard, банки-эквайеры</t>
  </si>
  <si>
    <t xml:space="preserve">Спецификация EMV 3-D Secure 2.0 опубликована в октябре 2016 года и фактически обязательна в ЕС из-за требований PSD2 к строгой аутентификации. Это регуляторная норма, а не зарождающийся тренд.</t>
  </si>
  <si>
    <t xml:space="preserve">Стабильный: обсуждается конверсия и требования регуляторов</t>
  </si>
  <si>
    <t xml:space="preserve">[3-D Secure (Wikipedia)](https://en.wikipedia.org/wiki/3-D_Secure)</t>
  </si>
  <si>
    <t xml:space="preserve">Переход межбанковских переводов на ISO 20022</t>
  </si>
  <si>
    <t xml:space="preserve">SWIFT, Eurosystem, Федеральная резервная система (Fedwire), CHIPS</t>
  </si>
  <si>
    <t xml:space="preserve">Миграция идёт по расписанию регуляторов: Eurosystem перешёл в марте 2023 года, CHIPS — в апреле 2024-го, Fedwire — в июле 2025-го. Это обязательный проект банков, а не поиск новой технологии.</t>
  </si>
  <si>
    <t xml:space="preserve">Стабильный: новости про сроки миграции</t>
  </si>
  <si>
    <t xml:space="preserve">[ISO 20022 (Wikipedia)](https://en.wikipedia.org/wiki/ISO_20022)</t>
  </si>
  <si>
    <t xml:space="preserve">Кредитный скоринг заёмщиков</t>
  </si>
  <si>
    <t xml:space="preserve">FICO, Experian, Equifax, TransUnion</t>
  </si>
  <si>
    <t xml:space="preserve">Практика массовая с конца XX века, у FICO к 2018 году существовало 29 версий скоринговой модели. Рынок бюро кредитных историй поделён, методология закреплена регулированием.</t>
  </si>
  <si>
    <t xml:space="preserve">Стабильный: спор идёт о данных и справедливости моделей</t>
  </si>
  <si>
    <t xml:space="preserve">[Credit score (Wikipedia)](https://en.wikipedia.org/wiki/Credit_score)</t>
  </si>
  <si>
    <t xml:space="preserve">Интернет- и мобильный банкинг</t>
  </si>
  <si>
    <t xml:space="preserve">Крупные розничные банки, поставщики банковского ПО</t>
  </si>
  <si>
    <t xml:space="preserve">С начала 2010-х это основной способ доступа клиентов к счетам: 61% пользователей в США в 2018 году и 93% населения Норвегии в 2019-м. Канал давно стандартен для отрасли.</t>
  </si>
  <si>
    <t xml:space="preserve">Стабильный: обсуждаются интерфейсы и безопасность</t>
  </si>
  <si>
    <t xml:space="preserve">[Online banking (Wikipedia)](https://en.wikipedia.org/wiki/Online_banking)</t>
  </si>
  <si>
    <t xml:space="preserve">Многофакторная аутентификация</t>
  </si>
  <si>
    <t xml:space="preserve">Защита ИИ</t>
  </si>
  <si>
    <t xml:space="preserve">FIDO Alliance, W3C, Microsoft, Google, Yubico</t>
  </si>
  <si>
    <t xml:space="preserve">Требуется нормативно: PCI DSS, платёжная директива ЕС, американский HSPD-12, HIPAA в здравоохранении. Стандарт FIDO2 поддерживается браузерами с 2015 года.</t>
  </si>
  <si>
    <t xml:space="preserve">Стабильный: обсуждается переход на passkeys внутри той же практики</t>
  </si>
  <si>
    <t xml:space="preserve">[Multi-factor authentication (Wikipedia)](https://en.wikipedia.org/wiki/Multi-factor_authentication)</t>
  </si>
  <si>
    <t xml:space="preserve">Межсетевой экран уровня приложений (WAF)</t>
  </si>
  <si>
    <t xml:space="preserve">Cloudflare, Imperva, Akamai, проект ModSecurity</t>
  </si>
  <si>
    <t xml:space="preserve">Категория появилась в конце 1990-х, открытый ModSecurity вышел в 2002 году, а требование 6.6 стандарта PCI DSS прямо предписывает использовать WAF. Бюджет и поставщики давно определены.</t>
  </si>
  <si>
    <t xml:space="preserve">Массовое внедрение, требование стандарта</t>
  </si>
  <si>
    <t xml:space="preserve">Стабильный: обсуждаются правила и обход защиты</t>
  </si>
  <si>
    <t xml:space="preserve">[Web application firewall (Wikipedia)](https://en.wikipedia.org/wiki/Web_application_firewall)</t>
  </si>
  <si>
    <t xml:space="preserve">SIEM — сбор и корреляция событий безопасности</t>
  </si>
  <si>
    <t xml:space="preserve">Splunk, IBM QRadar, Microsoft Sentinel, Positive Technologies</t>
  </si>
  <si>
    <t xml:space="preserve">Термин введён аналитиками Gartner в 2005 году, системы стоят в центре любого центра мониторинга и требуются государственными мандатами, например указом США 14028 от 2021 года.</t>
  </si>
  <si>
    <t xml:space="preserve">Стабильный: обсуждается стоимость хранения логов</t>
  </si>
  <si>
    <t xml:space="preserve">[Security information and event management (Wikipedia)](https://en.wikipedia.org/wiki/Security_information_and_event_management)</t>
  </si>
  <si>
    <t xml:space="preserve">EDR — обнаружение и реагирование на конечных точках</t>
  </si>
  <si>
    <t xml:space="preserve">CrowdStrike, Microsoft Defender, SentinelOne, «Лаборатория Касперского»</t>
  </si>
  <si>
    <t xml:space="preserve">Термин введён Gartner в 2013 году, продукты опираются на общую матрицу MITRE ATT&amp;CK. У покупателей есть отдельная статья бюджета, рынок поделён между известными вендорами.</t>
  </si>
  <si>
    <t xml:space="preserve">Стабильный: конкуренция продуктов, а не появление категории</t>
  </si>
  <si>
    <t xml:space="preserve">[Endpoint detection and response (Wikipedia)](https://en.wikipedia.org/wiki/Endpoint_detection_and_response)</t>
  </si>
  <si>
    <t xml:space="preserve">TLS 1.3 как транспортное шифрование</t>
  </si>
  <si>
    <t xml:space="preserve">IETF, Cloudflare, Google, Mozilla</t>
  </si>
  <si>
    <t xml:space="preserve">Протокол описан в RFC 8446 в августе 2018 года, к сентябрю 2025-го его поддерживают 75,3% обследованных сайтов. Это базовая инфраструктура интернета.</t>
  </si>
  <si>
    <t xml:space="preserve">Стабильный: обсуждается постквантовая надстройка, а не сам протокол</t>
  </si>
  <si>
    <t xml:space="preserve">[Transport Layer Security (Wikipedia)](https://en.wikipedia.org/wiki/Transport_Layer_Security)</t>
  </si>
  <si>
    <t xml:space="preserve">Фильтрация спама на машинном обучении</t>
  </si>
  <si>
    <t xml:space="preserve">Google, Microsoft, Proofpoint, Barracuda</t>
  </si>
  <si>
    <t xml:space="preserve">Статистические классификаторы, включая наивный байесовский, работают в почтовых фильтрах десятилетиями. Это пример машинного обучения, которое давно стало рутиной, а не сигналом.</t>
  </si>
  <si>
    <t xml:space="preserve">Стабильный: обсуждаются новые виды атак, а не метод</t>
  </si>
  <si>
    <t xml:space="preserve">[Email filtering (Wikipedia)](https://en.wikipedia.org/wiki/Email_filtering)</t>
  </si>
  <si>
    <t xml:space="preserve">NPU в смартфонах и ноутбуках</t>
  </si>
  <si>
    <t xml:space="preserve">Edge</t>
  </si>
  <si>
    <t xml:space="preserve">Apple, Qualcomm, Samsung, Huawei, Google</t>
  </si>
  <si>
    <t xml:space="preserve">Нейропроцессоры стоят в смартфонах с 2017 года, с 2022-го их добавили Intel и AMD в ноутбучные платформы. Это массовый компонент с явными производителями, а не ранний рынок.</t>
  </si>
  <si>
    <t xml:space="preserve">Растёт в маркетинге вокруг ИИ-ПК, но сама технология давно серийная</t>
  </si>
  <si>
    <t xml:space="preserve">[AI accelerator (Wikipedia)](https://en.wikipedia.org/wiki/AI_accelerator)</t>
  </si>
  <si>
    <t xml:space="preserve">Запуск моделей на устройстве через LiteRT и ONNX Runtime</t>
  </si>
  <si>
    <t xml:space="preserve">Google, Microsoft, Linux Foundation, Qualcomm</t>
  </si>
  <si>
    <t xml:space="preserve">TensorFlow вышел в ноябре 2015 года, мобильная версия переименована в LiteRT в 2024-м; формат обмена моделями ONNX появился в сентябре 2017 года и поддерживается Linux Foundation. Инструменты стандартные и бесплатные.</t>
  </si>
  <si>
    <t xml:space="preserve">Стабильный: обсуждаются конкретные модели, а не среда исполнения</t>
  </si>
  <si>
    <t xml:space="preserve">[TensorFlow (Wikipedia)](https://en.wikipedia.org/wiki/TensorFlow), [ONNX (Wikipedia)](https://en.wikipedia.org/wiki/Open_Neural_Network_Exchange)</t>
  </si>
  <si>
    <t xml:space="preserve">Wi-Fi 6 в устройствах и сетях</t>
  </si>
  <si>
    <t xml:space="preserve">IEEE, Wi-Fi Alliance, Qualcomm, Broadcom, TP-Link</t>
  </si>
  <si>
    <t xml:space="preserve">Стандарт IEEE 802.11ax утверждён в 2021 году, поддержка добавлена в массовые смартфоны, ноутбуки и роутеры. Рынок сформирован, обсуждается уже следующее поколение.</t>
  </si>
  <si>
    <t xml:space="preserve">Стабильный: внимание сместилось к Wi-Fi 7</t>
  </si>
  <si>
    <t xml:space="preserve">[Wi-Fi 6 (Wikipedia)](https://en.wikipedia.org/wiki/Wi-Fi_6)</t>
  </si>
  <si>
    <t xml:space="preserve">NB-IoT для датчиков и счётчиков</t>
  </si>
  <si>
    <t xml:space="preserve">3GPP, Ericsson, Huawei, операторы сотовой связи</t>
  </si>
  <si>
    <t xml:space="preserve">Спецификация утверждена в 3GPP Release 13 в июне 2016 года, сети развёрнуты операторами, устройства серийные. Технология применяется в счётчиках и логистике много лет.</t>
  </si>
  <si>
    <t xml:space="preserve">Стабильный: обсуждается поддержка сетей операторами</t>
  </si>
  <si>
    <t xml:space="preserve">[Narrowband IoT (Wikipedia)](https://en.wikipedia.org/wiki/Narrowband_IoT)</t>
  </si>
  <si>
    <t xml:space="preserve">Распознавание лиц в системах видеонаблюдения</t>
  </si>
  <si>
    <t xml:space="preserve">Hikvision, Dahua, NtechLab, Idemia</t>
  </si>
  <si>
    <t xml:space="preserve">Системы развёрнуты в масштабах городов и аэропортов, а регулирование уже написано: GDPR в ЕС, законы штатов в США, прямые запреты в отдельных городах. Наличие регулирования — признак зрелости, а не зарождения.</t>
  </si>
  <si>
    <t xml:space="preserve">Стабильный: обсуждается регулирование и приватность</t>
  </si>
  <si>
    <t xml:space="preserve">[Facial recognition system (Wikipedia)](https://en.wikipedia.org/wiki/Facial_recognition_system)</t>
  </si>
  <si>
    <t xml:space="preserve">Голосовые ассистенты на устройствах</t>
  </si>
  <si>
    <t xml:space="preserve">Apple (Siri), Amazon (Alexa), Google, «Яндекс» (Алиса)</t>
  </si>
  <si>
    <t xml:space="preserve">Siri вышла в 2011 году, Alexa — в 2014-м; уже к середине 2017 года число пользователей оценивалось примерно в 1 млрд. Категория потребительская и полностью сформированная.</t>
  </si>
  <si>
    <t xml:space="preserve">Стабильный: интерес сместился к ассистентам на больших языковых моделях</t>
  </si>
  <si>
    <t xml:space="preserve">[Virtual assistant (Wikipedia)](https://en.wikipedia.org/wiki/Virtual_assistant)</t>
  </si>
  <si>
    <t xml:space="preserve">Метавселенные как рабочая среда для бизнеса</t>
  </si>
  <si>
    <t xml:space="preserve">Хайп</t>
  </si>
  <si>
    <t xml:space="preserve">Meta (Horizon Worlds), Decentraland, The Sandbox</t>
  </si>
  <si>
    <t xml:space="preserve">Классический профиль хайпа: после ребрендинга Facebook в 2021 году подразделение Reality Labs потеряло свыше $10 млрд, а у Decentraland в 2023-м оставалось 38 активных пользователей в день. В январе 2026 года Meta уволила тысячу сотрудников Reality Labs и заморозила поддержку Horizon Worlds.</t>
  </si>
  <si>
    <t xml:space="preserve">Пик ожиданий пройден, внедрения свернуты</t>
  </si>
  <si>
    <t xml:space="preserve">Снижается: тема вытеснена искусственным интеллектом</t>
  </si>
  <si>
    <t xml:space="preserve">[Metaverse (Wikipedia)](https://en.wikipedia.org/wiki/Metaverse)</t>
  </si>
  <si>
    <t xml:space="preserve">NFT как инструмент брендов и лояльности</t>
  </si>
  <si>
    <t xml:space="preserve">OpenSea, Yuga Labs, бренды-экспериментаторы</t>
  </si>
  <si>
    <t xml:space="preserve">Оборот рынка вырос до $17 млрд в 2021 году против $82 млн в 2020-м, а уже в 2022-м число продаж упало более чем на 90%. По отчёту 2023 года, 95% коллекций потеряли всякую стоимость.</t>
  </si>
  <si>
    <t xml:space="preserve">Пик ожиданий пройден</t>
  </si>
  <si>
    <t xml:space="preserve">Снижается: после обвала 2022 года интерес не восстановился</t>
  </si>
  <si>
    <t xml:space="preserve">[Non-fungible token (Wikipedia)](https://en.wikipedia.org/wiki/Non-fungible_token)</t>
  </si>
  <si>
    <t xml:space="preserve">Потребительские умные очки с камерой</t>
  </si>
  <si>
    <t xml:space="preserve">Google (Glass)</t>
  </si>
  <si>
    <t xml:space="preserve">Потребительская версия продавалась с апреля 2014 по январь 2015 года и провалилась из-за цены $1500 и претензий к приватности; корпоративную версию закрыли 15 марта 2023 года. Медийный шум многократно превышал реальное внедрение.</t>
  </si>
  <si>
    <t xml:space="preserve">Продукт снят с рынка</t>
  </si>
  <si>
    <t xml:space="preserve">Снижается: тема возвращается только в связи с новыми устройствами других компаний</t>
  </si>
  <si>
    <t xml:space="preserve">[Google Glass (Wikipedia)](https://en.wikipedia.org/wiki/Google_Glass)</t>
  </si>
  <si>
    <t xml:space="preserve">3D-телевидение в домашних кинотеатрах</t>
  </si>
  <si>
    <t xml:space="preserve">Sony, LG, Vizio, Samsung</t>
  </si>
  <si>
    <t xml:space="preserve">После успеха «Аватара» рынок вырос до 41,45 млн устройств в 2012 году, но спрос не закрепился, и к 2016-му производство 3D-телевизоров прекратилось. Пример, когда массовые поставки не означают устойчивого тренда.</t>
  </si>
  <si>
    <t xml:space="preserve">Производство прекращено</t>
  </si>
  <si>
    <t xml:space="preserve">Снижается: технология ушла с рынка</t>
  </si>
  <si>
    <t xml:space="preserve">[3D television (Wikipedia)](https://en.wikipedia.org/wiki/3D_television)</t>
  </si>
  <si>
    <t xml:space="preserve">Персональный транспорт Segway как замена городскому</t>
  </si>
  <si>
    <t xml:space="preserve">Segway Inc.</t>
  </si>
  <si>
    <t xml:space="preserve">На старте в 2001 году инвесторы сравнивали изобретение с интернетом, но за всю историю продали лишь 140 тысяч устройств, а выпуск оригинальной модели прекратили в июне 2020 года. Разрыв между ожиданиями и внедрением рекордный.</t>
  </si>
  <si>
    <t xml:space="preserve">Снижается: осталось нишевое применение</t>
  </si>
  <si>
    <t xml:space="preserve">[Segway (Wikipedia)](https://en.wikipedia.org/wiki/Segway)</t>
  </si>
  <si>
    <t xml:space="preserve">Холодный ядерный синтез</t>
  </si>
  <si>
    <t xml:space="preserve">Отдельные исследовательские группы</t>
  </si>
  <si>
    <t xml:space="preserve">Заявление Флейшмана и Понса 1989 года не удалось воспроизвести: группы, сообщавшие об успехе, отзывали результаты из-за ошибок в приборах, два обзора Министерства энергетики США не нашли убедительных доказательств. Тема маргинализирована.</t>
  </si>
  <si>
    <t xml:space="preserve">Не подтверждено воспроизводимо</t>
  </si>
  <si>
    <t xml:space="preserve">Стабильно низкий уровень: публикации редко проходят рецензирование</t>
  </si>
  <si>
    <t xml:space="preserve">[Cold fusion (Wikipedia)](https://en.wikipedia.org/wiki/Cold_fusion)</t>
  </si>
  <si>
    <t xml:space="preserve">Hyperloop как транспорт будущего</t>
  </si>
  <si>
    <t xml:space="preserve">Hyperloop One (Virgin Hyperloop), TUM Hyperloop</t>
  </si>
  <si>
    <t xml:space="preserve">После десяти лет обещаний коммерческих линий нет: Hyperloop One прекратила работу 31 декабря 2023 года, отказавшись от пассажирских перевозок ещё в феврале 2022-го. Остались рекорды на тестовых треках.</t>
  </si>
  <si>
    <t xml:space="preserve">Демонстрации и прототипы, компания закрыта</t>
  </si>
  <si>
    <t xml:space="preserve">Снижается: ключевой игрок ушёл с рынка</t>
  </si>
  <si>
    <t xml:space="preserve">[Hyperloop (Wikipedia)](https://en.wikipedia.org/wiki/Hyperloop)</t>
  </si>
  <si>
    <t xml:space="preserve">Облачный гейминг как замена консолям</t>
  </si>
  <si>
    <t xml:space="preserve">Google (Stadia)</t>
  </si>
  <si>
    <t xml:space="preserve">Сервис запущен в ноябре 2019 года и закрыт в январе 2023-го: не хватило библиотеки игр и обещанных функций, студии разработки закрыли ещё в 2021 году. Внимание прессы не превратилось в аудиторию.</t>
  </si>
  <si>
    <t xml:space="preserve">Сервис закрыт</t>
  </si>
  <si>
    <t xml:space="preserve">Снижается: направление продолжают другие игроки в меньшем масштабе</t>
  </si>
  <si>
    <t xml:space="preserve">[Google Stadia (Wikipedia)](https://en.wikipedia.org/wiki/Google_Stadia)</t>
  </si>
  <si>
    <t xml:space="preserve">Игры play-to-earn как модель заработка</t>
  </si>
  <si>
    <t xml:space="preserve">Sky Mavis (Axie Infinity)</t>
  </si>
  <si>
    <t xml:space="preserve">В 2021 году в Axie Infinity играли 2,7 млн человек в день, но в феврале 2022-го внутренний токен потерял свыше 99% стоимости, а в марте из сети Ronin украли $620 млн, после чего аудитория упала до 250 тысяч.</t>
  </si>
  <si>
    <t xml:space="preserve">Снижается: модель не выдержала проверки</t>
  </si>
  <si>
    <t xml:space="preserve">[Axie Infinity (Wikipedia)](https://en.wikipedia.org/wiki/Axie_Infinity)</t>
  </si>
  <si>
    <t xml:space="preserve">Квантовое превосходство как коммерческий продукт</t>
  </si>
  <si>
    <t xml:space="preserve">Google, IBM</t>
  </si>
  <si>
    <t xml:space="preserve">Заявление Google 2019 года о 200 секундах против 10 тысяч лет оспорила IBM, показав расчёт за 2,5 дня на классическом суперкомпьютере. Само превосходство считается научной целью и почти не влияет на коммерческую применимость.</t>
  </si>
  <si>
    <t xml:space="preserve">Научная демонстрация</t>
  </si>
  <si>
    <t xml:space="preserve">Растёт в медиа при каждом новом заявлении, без коммерческих внедрений</t>
  </si>
  <si>
    <t xml:space="preserve">[Quantum supremacy (Wikipedia)](https://en.wikipedia.org/wiki/Quantum_supremacy)</t>
  </si>
  <si>
    <t xml:space="preserve">Умная бытовая техника с обязательной подпиской</t>
  </si>
  <si>
    <t xml:space="preserve">Juicero</t>
  </si>
  <si>
    <t xml:space="preserve">Компания привлекла $120 млн, но выяснилось, что фирменные пакеты сока отжимаются руками без дорогого пресса. В декабре 2017 года компания закрылась. Пример, когда деньги инвесторов не подтверждают технологическую суть.</t>
  </si>
  <si>
    <t xml:space="preserve">Компания закрыта</t>
  </si>
  <si>
    <t xml:space="preserve">Снижается: случай остался в учебниках как пример провала</t>
  </si>
  <si>
    <t xml:space="preserve">[Juicero (Wikipedia)](https://en.wikipedia.org/wiki/Juicero)</t>
  </si>
  <si>
    <t xml:space="preserve">Подборка «Лучшие нейросети 2026» в блоге провайдера</t>
  </si>
  <si>
    <t xml:space="preserve">Шум</t>
  </si>
  <si>
    <t xml:space="preserve">ITGLOBAL.COM</t>
  </si>
  <si>
    <t xml:space="preserve">Это не технология, а маркетинговый обзор десяти языковых моделей в блоге облачного провайдера. Такие подборки система будет часто находить по запросу «технологии в ИИ», но извлекать из них нечего: новых сущностей нет.</t>
  </si>
  <si>
    <t xml:space="preserve">Не технология: обзорная статья</t>
  </si>
  <si>
    <t xml:space="preserve">Такие подборки выходят постоянно и обновляются под поисковые запросы</t>
  </si>
  <si>
    <t xml:space="preserve">[Лучшие нейросети 2026 года: топ-10 LLM для бизнеса (ITGLOBAL)](https://itglobal.com/ru-ru/company/blog/top-10-nejrosetej-2026-goda-obzor-i-sravnenie/)</t>
  </si>
  <si>
    <t xml:space="preserve">SEO-рейтинг нейросетей с продажей курсов</t>
  </si>
  <si>
    <t xml:space="preserve">Школа «ИИ Легион»</t>
  </si>
  <si>
    <t xml:space="preserve">Страница построена под поисковый запрос: таблицы сравнения, блок вопросов и ответов и призывы записаться на курс и купить внедрение от 50 000 рублей. Коммерческая цель прямо влияет на состав «рейтинга».</t>
  </si>
  <si>
    <t xml:space="preserve">Не технология: рекламная статья</t>
  </si>
  <si>
    <t xml:space="preserve">Обновляется регулярно ради позиций в поиске</t>
  </si>
  <si>
    <t xml:space="preserve">[Топ-15 нейросетей 2026 (aibotmanager.ru)](https://aibotmanager.ru/top-nejrosetej-2026/)</t>
  </si>
  <si>
    <t xml:space="preserve">Рейтинг сервисов, где первое место занял продукт автора</t>
  </si>
  <si>
    <t xml:space="preserve">MindThera</t>
  </si>
  <si>
    <t xml:space="preserve">Материал в блоге на медиаплощадке, где редакция рейтинга сама владеет продуктом-победителем и расставляет ссылки с UTM-метками. Это реклама в формате обзора, а не свидетельство технологического тренда.</t>
  </si>
  <si>
    <t xml:space="preserve">Не технология: рекламный обзор</t>
  </si>
  <si>
    <t xml:space="preserve">Такие обзоры появляются волнами вокруг популярных тем</t>
  </si>
  <si>
    <t xml:space="preserve">[Лучшие нейросети 2026 года: 10 сервисов (Sostav)](https://www.sostav.ru/blogs/292185/95879)</t>
  </si>
  <si>
    <t xml:space="preserve">Прогноз «рынок ИИ вырастет до 830 млрд рублей к 2030 году»</t>
  </si>
  <si>
    <t xml:space="preserve">Агентство AIANA</t>
  </si>
  <si>
    <t xml:space="preserve">Новость о прогнозе агентства без раскрытой методологии: названы три сценария, но расчёты не показаны. Прогноз объёма рынка не говорит ни о конкретной технологии, ни о стадии её развития.</t>
  </si>
  <si>
    <t xml:space="preserve">Не технология: прогноз рынка</t>
  </si>
  <si>
    <t xml:space="preserve">Прогнозы публикуются регулярно и цитируются по кругу</t>
  </si>
  <si>
    <t xml:space="preserve">[Российский рынок ИИ может вырасти до 830 млрд рублей к 2030 году (ТКС)](https://www.tks.ru/technology/2026/08/11/0002/rossijskij-ryinok-ii-mozhet-vyirasti-do-830-mlrd-rublej-k-2030-godu/)</t>
  </si>
  <si>
    <t xml:space="preserve">Подборка «54 статистики об ИИ» на блог-платформе</t>
  </si>
  <si>
    <t xml:space="preserve">Digital Silk (агентство), vc.ru (площадка)</t>
  </si>
  <si>
    <t xml:space="preserve">Пользовательский пост со статистикой по данным маркетингового агентства, без ссылок на первоисточники цифр. Материал цитируемый, но проверить его нельзя — по ТЗ это источник пониженной доверенности.</t>
  </si>
  <si>
    <t xml:space="preserve">Не технология: подборка цифр</t>
  </si>
  <si>
    <t xml:space="preserve">Такие посты активно расходятся по соцсетям</t>
  </si>
  <si>
    <t xml:space="preserve">[Статистика ИИ в 2026 году (vc.ru)](https://vc.ru/ai/2695760-statistika-ii-2026-goda)</t>
  </si>
  <si>
    <t xml:space="preserve">Колонка о трендах ИИ в большой политике</t>
  </si>
  <si>
    <t xml:space="preserve">Издание «Коммерсантъ», автор — эксперт-политолог</t>
  </si>
  <si>
    <t xml:space="preserve">Аналитическая колонка о государственных стратегиях и международных документах. Полезна как контекст, но технологических сущностей в ней нет: извлекать из неё кандидатов в слабые сигналы бессмысленно.</t>
  </si>
  <si>
    <t xml:space="preserve">Не технология: публицистика</t>
  </si>
  <si>
    <t xml:space="preserve">Такие колонки выходят в начале каждого года</t>
  </si>
  <si>
    <t xml:space="preserve">[Тренды искусственного интеллекта в 2026 году (Коммерсантъ)](https://www.kommersant.ru/doc/8337040)</t>
  </si>
  <si>
    <t xml:space="preserve">Карточка компании в каталоге стартапов</t>
  </si>
  <si>
    <t xml:space="preserve">Groundup.ai (пример карточки), площадка YesPress</t>
  </si>
  <si>
    <t xml:space="preserve">Профиль компании в каталоге: описание продукта, цитаты руководителей, сумма контракта. Это сведения о компании, а не о технологии, и они опубликованы площадкой-каталогом без автора и даты.</t>
  </si>
  <si>
    <t xml:space="preserve">Не технология: профиль компании</t>
  </si>
  <si>
    <t xml:space="preserve">Каталоги пополняются постоянно</t>
  </si>
  <si>
    <t xml:space="preserve">[Карточка Groundup.ai (YesPress)](https://yespress.io/groundup-ai)</t>
  </si>
  <si>
    <t xml:space="preserve">Тег-лента новостей по теме вместо статьи</t>
  </si>
  <si>
    <t xml:space="preserve">Площадка Robots Atlas</t>
  </si>
  <si>
    <t xml:space="preserve">Ссылка ведёт на рубрику сайта, а не на конкретный материал: содержимое меняется каждый день, проверить утверждение по ней невозможно. Такие адреса нельзя класть в выдачу как источник.</t>
  </si>
  <si>
    <t xml:space="preserve">Не технология: рубрика сайта</t>
  </si>
  <si>
    <t xml:space="preserve">Лента обновляется ежедневно</t>
  </si>
  <si>
    <t xml:space="preserve">[Тег «tactile sensing» (Robots Atlas)](https://robotsatlas.com/tags/tactile-sensing)</t>
  </si>
  <si>
    <t xml:space="preserve">Состав файла</t>
  </si>
  <si>
    <t xml:space="preserve">Всего</t>
  </si>
  <si>
    <t xml:space="preserve">Средняя стадия по классам</t>
  </si>
  <si>
    <t xml:space="preserve">стадия</t>
  </si>
  <si>
    <t xml:space="preserve">динамика</t>
  </si>
  <si>
    <t xml:space="preserve">Читается так: у мейнстрима высокая стадия и нулевая динамика, у хайпа низкая стадия при заметной медийной активности, у шума стадии нет вообще. Датасет организаторов занимает полосу между ними: стадия от 1 до 4 при растущей динамике.</t>
  </si>
  <si>
    <t xml:space="preserve">Протокол разметки</t>
  </si>
  <si>
    <t xml:space="preserve">Зачем этот файл</t>
  </si>
  <si>
    <t xml:space="preserve">В датасете организаторов 100 строк, и все они — слабые сигналы. Модели не с чем сравнивать: она не видела ни зрелых технологий, ни хайпа, ни информационного шума. Эти 53 строки достраивают вторую сторону границы. Формат колонок повторяет их файл, чтобы признаки считались одинаково.</t>
  </si>
  <si>
    <t xml:space="preserve">Класс «Мейнстрим» (34 строки)</t>
  </si>
  <si>
    <t xml:space="preserve">Массовое внедрение, сформированный рынок, явные лидеры или отраслевой стандарт. Проверка простая: есть ли у технологии стандарт (ISO, IEC, IEEE, RFC, ANSI/ISA), известны ли лидеры рынка и есть ли у покупателей бюджетная строка. По ТЗ такие технологии в выдачу не попадают.</t>
  </si>
  <si>
    <t xml:space="preserve">Класс «Хайп» (11 строк)</t>
  </si>
  <si>
    <t xml:space="preserve">Медийная активность намного выше реальной стадии: много прессы и обещаний, мало внедрений, а в части случаев — отменённые продукты и закрытые компании. В каждой строке указаны конкретные цифры разрыва: сколько собрали, сколько продали, когда закрылись.</t>
  </si>
  <si>
    <t xml:space="preserve">Класс «Шум» (8 строк)</t>
  </si>
  <si>
    <t xml:space="preserve">Документы, которые пайплайн принимает за кандидата, хотя технологии в них нет: подборки-рейтинги, SEO-статьи с продажей курсов, прогнозы рынка без методологии, карточки компаний в каталогах, тег-ленты сайтов. Две последние строки взяты из источников самого датасета организаторов.</t>
  </si>
  <si>
    <t xml:space="preserve">Где проходит граница</t>
  </si>
  <si>
    <t xml:space="preserve">Границу проводим по разметке организаторов, а не по своему мнению. Если технология похожа на их позитив, в негативы она не идёт. Их верхняя граница — «раннее внедрение»; всё, что дошло до массового внедрения или стало стандартом, попадает сюда. Пограничные строки в файле: NPU в смартфонах (их №16 про NPU в микроконтроллерах), память HBM, распознавание лиц, коботы.</t>
  </si>
  <si>
    <t xml:space="preserve">Шкалы</t>
  </si>
  <si>
    <t xml:space="preserve">Стадия: 0 — не технология, 1 — концепция или закрытый проект, 2 — прототип, 3 — пилот, 4 — раннее внедрение, 5 — массовое внедрение или стандарт. Динамика: −1 снижается, 0 стабильно, 1 растёт медленно, 2 растёт, 3 растёт быстро. Балл считается той же формулой, что у организаторов (стадия плюс динамика), чтобы шкалы стыковались; для класса «Шум» балл смысла не имеет.</t>
  </si>
  <si>
    <t xml:space="preserve">Чего не подавать модели</t>
  </si>
  <si>
    <t xml:space="preserve">Колонку «Почему не слабый сигнал» — в ней прямо назван ответ. Названия площадок в колонке «Источники» — только их тип и уровень доверия. Длину текстов тоже стоит проверить: если ваши строки заметно отличаются от строк организаторов по длине и лексике, модель научится различать авторов, а не классы.</t>
  </si>
  <si>
    <t xml:space="preserve">Для мейнстрима использованы энциклопедические статьи как маркер зрелости: в них видно год появления технологии, стандарты и лидеров рынка. В тексте каждой строки назван сам стандарт (ISO/TS 15066, IEC 62541, ANSI/ISA-95, RFC 8446, ISO/IEC 14443 и другие) — к финальной сдаче их лучше заменить ссылками на первоисточники. Все ссылки открыты и проверены 29 сентября 2026 года.</t>
  </si>
  <si>
    <t xml:space="preserve">Что доделать</t>
  </si>
  <si>
    <t xml:space="preserve">Довести до 100–150 строк, сохраняя пропорцию: около двух третей мейнстрима, остальное — хайп и шум; треть строк сделать пограничными. Затем 30 строк вслепую разметить вторым человеком и сверить расхождения — это и будет обоснование методологии для жюри.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</si>
</sst>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A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CD6"/>
      </left>
      <right style="thin">
        <color rgb="FFC8CCD6"/>
      </right>
      <top style="thin">
        <color rgb="FFC8CCD6"/>
      </top>
      <bottom style="thin">
        <color rgb="FFC8CC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8EA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E8EA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C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19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60"/>
    <col collapsed="false" customWidth="true" hidden="false" outlineLevel="0" max="7" min="7" style="0" width="28"/>
    <col collapsed="false" customWidth="true" hidden="false" outlineLevel="0" max="8" min="8" style="0" width="9"/>
    <col collapsed="false" customWidth="true" hidden="false" outlineLevel="0" max="9" min="9" style="0" width="46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5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46.25" hidden="false" customHeight="false" outlineLevel="0" collapsed="false">
      <c r="A5" s="4" t="n">
        <v>1</v>
      </c>
      <c r="B5" s="5" t="s">
        <v>14</v>
      </c>
      <c r="C5" s="5" t="s">
        <v>15</v>
      </c>
      <c r="D5" s="6" t="s">
        <v>16</v>
      </c>
      <c r="E5" s="5" t="s">
        <v>17</v>
      </c>
      <c r="F5" s="5" t="s">
        <v>18</v>
      </c>
      <c r="G5" s="5" t="s">
        <v>19</v>
      </c>
      <c r="H5" s="7" t="n">
        <v>5</v>
      </c>
      <c r="I5" s="5" t="s">
        <v>20</v>
      </c>
      <c r="J5" s="7" t="n">
        <v>0</v>
      </c>
      <c r="K5" s="4" t="n">
        <f aca="false">H5+J5</f>
        <v>5</v>
      </c>
      <c r="L5" s="5" t="s">
        <v>21</v>
      </c>
    </row>
    <row r="6" customFormat="false" ht="46.25" hidden="false" customHeight="false" outlineLevel="0" collapsed="false">
      <c r="A6" s="4" t="n">
        <v>2</v>
      </c>
      <c r="B6" s="5" t="s">
        <v>22</v>
      </c>
      <c r="C6" s="5" t="s">
        <v>15</v>
      </c>
      <c r="D6" s="6" t="s">
        <v>16</v>
      </c>
      <c r="E6" s="5" t="s">
        <v>23</v>
      </c>
      <c r="F6" s="5" t="s">
        <v>24</v>
      </c>
      <c r="G6" s="5" t="s">
        <v>25</v>
      </c>
      <c r="H6" s="7" t="n">
        <v>5</v>
      </c>
      <c r="I6" s="5" t="s">
        <v>26</v>
      </c>
      <c r="J6" s="7" t="n">
        <v>0</v>
      </c>
      <c r="K6" s="4" t="n">
        <f aca="false">H6+J6</f>
        <v>5</v>
      </c>
      <c r="L6" s="5" t="s">
        <v>27</v>
      </c>
    </row>
    <row r="7" customFormat="false" ht="35.05" hidden="false" customHeight="false" outlineLevel="0" collapsed="false">
      <c r="A7" s="4" t="n">
        <v>3</v>
      </c>
      <c r="B7" s="5" t="s">
        <v>28</v>
      </c>
      <c r="C7" s="5" t="s">
        <v>15</v>
      </c>
      <c r="D7" s="6" t="s">
        <v>16</v>
      </c>
      <c r="E7" s="5" t="s">
        <v>29</v>
      </c>
      <c r="F7" s="5" t="s">
        <v>30</v>
      </c>
      <c r="G7" s="5" t="s">
        <v>25</v>
      </c>
      <c r="H7" s="7" t="n">
        <v>5</v>
      </c>
      <c r="I7" s="5" t="s">
        <v>31</v>
      </c>
      <c r="J7" s="7" t="n">
        <v>0</v>
      </c>
      <c r="K7" s="4" t="n">
        <f aca="false">H7+J7</f>
        <v>5</v>
      </c>
      <c r="L7" s="5" t="s">
        <v>32</v>
      </c>
    </row>
    <row r="8" customFormat="false" ht="46.25" hidden="false" customHeight="false" outlineLevel="0" collapsed="false">
      <c r="A8" s="4" t="n">
        <v>4</v>
      </c>
      <c r="B8" s="5" t="s">
        <v>33</v>
      </c>
      <c r="C8" s="5" t="s">
        <v>15</v>
      </c>
      <c r="D8" s="6" t="s">
        <v>16</v>
      </c>
      <c r="E8" s="5" t="s">
        <v>34</v>
      </c>
      <c r="F8" s="5" t="s">
        <v>35</v>
      </c>
      <c r="G8" s="5" t="s">
        <v>36</v>
      </c>
      <c r="H8" s="7" t="n">
        <v>5</v>
      </c>
      <c r="I8" s="5" t="s">
        <v>37</v>
      </c>
      <c r="J8" s="7" t="n">
        <v>0</v>
      </c>
      <c r="K8" s="4" t="n">
        <f aca="false">H8+J8</f>
        <v>5</v>
      </c>
      <c r="L8" s="5" t="s">
        <v>38</v>
      </c>
    </row>
    <row r="9" customFormat="false" ht="46.25" hidden="false" customHeight="false" outlineLevel="0" collapsed="false">
      <c r="A9" s="4" t="n">
        <v>5</v>
      </c>
      <c r="B9" s="5" t="s">
        <v>39</v>
      </c>
      <c r="C9" s="5" t="s">
        <v>15</v>
      </c>
      <c r="D9" s="6" t="s">
        <v>16</v>
      </c>
      <c r="E9" s="5" t="s">
        <v>40</v>
      </c>
      <c r="F9" s="5" t="s">
        <v>41</v>
      </c>
      <c r="G9" s="5" t="s">
        <v>19</v>
      </c>
      <c r="H9" s="7" t="n">
        <v>5</v>
      </c>
      <c r="I9" s="5" t="s">
        <v>42</v>
      </c>
      <c r="J9" s="7" t="n">
        <v>0</v>
      </c>
      <c r="K9" s="4" t="n">
        <f aca="false">H9+J9</f>
        <v>5</v>
      </c>
      <c r="L9" s="5" t="s">
        <v>43</v>
      </c>
    </row>
    <row r="10" customFormat="false" ht="46.25" hidden="false" customHeight="false" outlineLevel="0" collapsed="false">
      <c r="A10" s="4" t="n">
        <v>6</v>
      </c>
      <c r="B10" s="5" t="s">
        <v>44</v>
      </c>
      <c r="C10" s="5" t="s">
        <v>15</v>
      </c>
      <c r="D10" s="6" t="s">
        <v>16</v>
      </c>
      <c r="E10" s="5" t="s">
        <v>45</v>
      </c>
      <c r="F10" s="5" t="s">
        <v>46</v>
      </c>
      <c r="G10" s="5" t="s">
        <v>19</v>
      </c>
      <c r="H10" s="7" t="n">
        <v>5</v>
      </c>
      <c r="I10" s="5" t="s">
        <v>47</v>
      </c>
      <c r="J10" s="7" t="n">
        <v>0</v>
      </c>
      <c r="K10" s="4" t="n">
        <f aca="false">H10+J10</f>
        <v>5</v>
      </c>
      <c r="L10" s="5" t="s">
        <v>48</v>
      </c>
    </row>
    <row r="11" customFormat="false" ht="35.05" hidden="false" customHeight="false" outlineLevel="0" collapsed="false">
      <c r="A11" s="4" t="n">
        <v>7</v>
      </c>
      <c r="B11" s="5" t="s">
        <v>49</v>
      </c>
      <c r="C11" s="5" t="s">
        <v>50</v>
      </c>
      <c r="D11" s="6" t="s">
        <v>16</v>
      </c>
      <c r="E11" s="5" t="s">
        <v>51</v>
      </c>
      <c r="F11" s="5" t="s">
        <v>52</v>
      </c>
      <c r="G11" s="5" t="s">
        <v>53</v>
      </c>
      <c r="H11" s="7" t="n">
        <v>5</v>
      </c>
      <c r="I11" s="5" t="s">
        <v>54</v>
      </c>
      <c r="J11" s="7" t="n">
        <v>0</v>
      </c>
      <c r="K11" s="4" t="n">
        <f aca="false">H11+J11</f>
        <v>5</v>
      </c>
      <c r="L11" s="5" t="s">
        <v>55</v>
      </c>
    </row>
    <row r="12" customFormat="false" ht="35.05" hidden="false" customHeight="false" outlineLevel="0" collapsed="false">
      <c r="A12" s="4" t="n">
        <v>8</v>
      </c>
      <c r="B12" s="5" t="s">
        <v>56</v>
      </c>
      <c r="C12" s="5" t="s">
        <v>50</v>
      </c>
      <c r="D12" s="6" t="s">
        <v>16</v>
      </c>
      <c r="E12" s="5" t="s">
        <v>57</v>
      </c>
      <c r="F12" s="5" t="s">
        <v>58</v>
      </c>
      <c r="G12" s="5" t="s">
        <v>19</v>
      </c>
      <c r="H12" s="7" t="n">
        <v>5</v>
      </c>
      <c r="I12" s="5" t="s">
        <v>59</v>
      </c>
      <c r="J12" s="7" t="n">
        <v>0</v>
      </c>
      <c r="K12" s="4" t="n">
        <f aca="false">H12+J12</f>
        <v>5</v>
      </c>
      <c r="L12" s="5" t="s">
        <v>60</v>
      </c>
    </row>
    <row r="13" customFormat="false" ht="35.05" hidden="false" customHeight="false" outlineLevel="0" collapsed="false">
      <c r="A13" s="4" t="n">
        <v>9</v>
      </c>
      <c r="B13" s="5" t="s">
        <v>61</v>
      </c>
      <c r="C13" s="5" t="s">
        <v>50</v>
      </c>
      <c r="D13" s="6" t="s">
        <v>16</v>
      </c>
      <c r="E13" s="5" t="s">
        <v>62</v>
      </c>
      <c r="F13" s="5" t="s">
        <v>63</v>
      </c>
      <c r="G13" s="5" t="s">
        <v>19</v>
      </c>
      <c r="H13" s="7" t="n">
        <v>5</v>
      </c>
      <c r="I13" s="5" t="s">
        <v>64</v>
      </c>
      <c r="J13" s="7" t="n">
        <v>0</v>
      </c>
      <c r="K13" s="4" t="n">
        <f aca="false">H13+J13</f>
        <v>5</v>
      </c>
      <c r="L13" s="5" t="s">
        <v>65</v>
      </c>
    </row>
    <row r="14" customFormat="false" ht="35.05" hidden="false" customHeight="false" outlineLevel="0" collapsed="false">
      <c r="A14" s="4" t="n">
        <v>10</v>
      </c>
      <c r="B14" s="5" t="s">
        <v>66</v>
      </c>
      <c r="C14" s="5" t="s">
        <v>50</v>
      </c>
      <c r="D14" s="6" t="s">
        <v>16</v>
      </c>
      <c r="E14" s="5" t="s">
        <v>67</v>
      </c>
      <c r="F14" s="5" t="s">
        <v>68</v>
      </c>
      <c r="G14" s="5" t="s">
        <v>19</v>
      </c>
      <c r="H14" s="7" t="n">
        <v>5</v>
      </c>
      <c r="I14" s="5" t="s">
        <v>69</v>
      </c>
      <c r="J14" s="7" t="n">
        <v>0</v>
      </c>
      <c r="K14" s="4" t="n">
        <f aca="false">H14+J14</f>
        <v>5</v>
      </c>
      <c r="L14" s="5" t="s">
        <v>70</v>
      </c>
    </row>
    <row r="15" customFormat="false" ht="35.05" hidden="false" customHeight="false" outlineLevel="0" collapsed="false">
      <c r="A15" s="4" t="n">
        <v>11</v>
      </c>
      <c r="B15" s="5" t="s">
        <v>71</v>
      </c>
      <c r="C15" s="5" t="s">
        <v>50</v>
      </c>
      <c r="D15" s="6" t="s">
        <v>16</v>
      </c>
      <c r="E15" s="5" t="s">
        <v>72</v>
      </c>
      <c r="F15" s="5" t="s">
        <v>73</v>
      </c>
      <c r="G15" s="5" t="s">
        <v>74</v>
      </c>
      <c r="H15" s="7" t="n">
        <v>5</v>
      </c>
      <c r="I15" s="5" t="s">
        <v>75</v>
      </c>
      <c r="J15" s="7" t="n">
        <v>0</v>
      </c>
      <c r="K15" s="4" t="n">
        <f aca="false">H15+J15</f>
        <v>5</v>
      </c>
      <c r="L15" s="5" t="s">
        <v>76</v>
      </c>
    </row>
    <row r="16" customFormat="false" ht="46.25" hidden="false" customHeight="false" outlineLevel="0" collapsed="false">
      <c r="A16" s="4" t="n">
        <v>12</v>
      </c>
      <c r="B16" s="5" t="s">
        <v>77</v>
      </c>
      <c r="C16" s="5" t="s">
        <v>78</v>
      </c>
      <c r="D16" s="6" t="s">
        <v>16</v>
      </c>
      <c r="E16" s="5" t="s">
        <v>79</v>
      </c>
      <c r="F16" s="5" t="s">
        <v>80</v>
      </c>
      <c r="G16" s="5" t="s">
        <v>74</v>
      </c>
      <c r="H16" s="7" t="n">
        <v>5</v>
      </c>
      <c r="I16" s="5" t="s">
        <v>81</v>
      </c>
      <c r="J16" s="7" t="n">
        <v>0</v>
      </c>
      <c r="K16" s="4" t="n">
        <f aca="false">H16+J16</f>
        <v>5</v>
      </c>
      <c r="L16" s="5" t="s">
        <v>82</v>
      </c>
    </row>
    <row r="17" customFormat="false" ht="35.05" hidden="false" customHeight="false" outlineLevel="0" collapsed="false">
      <c r="A17" s="4" t="n">
        <v>13</v>
      </c>
      <c r="B17" s="5" t="s">
        <v>83</v>
      </c>
      <c r="C17" s="5" t="s">
        <v>78</v>
      </c>
      <c r="D17" s="6" t="s">
        <v>16</v>
      </c>
      <c r="E17" s="5" t="s">
        <v>84</v>
      </c>
      <c r="F17" s="5" t="s">
        <v>85</v>
      </c>
      <c r="G17" s="5" t="s">
        <v>53</v>
      </c>
      <c r="H17" s="7" t="n">
        <v>5</v>
      </c>
      <c r="I17" s="5" t="s">
        <v>86</v>
      </c>
      <c r="J17" s="7" t="n">
        <v>1</v>
      </c>
      <c r="K17" s="4" t="n">
        <f aca="false">H17+J17</f>
        <v>6</v>
      </c>
      <c r="L17" s="5" t="s">
        <v>87</v>
      </c>
    </row>
    <row r="18" customFormat="false" ht="35.05" hidden="false" customHeight="false" outlineLevel="0" collapsed="false">
      <c r="A18" s="4" t="n">
        <v>14</v>
      </c>
      <c r="B18" s="5" t="s">
        <v>88</v>
      </c>
      <c r="C18" s="5" t="s">
        <v>78</v>
      </c>
      <c r="D18" s="6" t="s">
        <v>16</v>
      </c>
      <c r="E18" s="5" t="s">
        <v>89</v>
      </c>
      <c r="F18" s="5" t="s">
        <v>90</v>
      </c>
      <c r="G18" s="5" t="s">
        <v>19</v>
      </c>
      <c r="H18" s="7" t="n">
        <v>5</v>
      </c>
      <c r="I18" s="5" t="s">
        <v>91</v>
      </c>
      <c r="J18" s="7" t="n">
        <v>0</v>
      </c>
      <c r="K18" s="4" t="n">
        <f aca="false">H18+J18</f>
        <v>5</v>
      </c>
      <c r="L18" s="5" t="s">
        <v>92</v>
      </c>
    </row>
    <row r="19" customFormat="false" ht="35.05" hidden="false" customHeight="false" outlineLevel="0" collapsed="false">
      <c r="A19" s="4" t="n">
        <v>15</v>
      </c>
      <c r="B19" s="5" t="s">
        <v>93</v>
      </c>
      <c r="C19" s="5" t="s">
        <v>78</v>
      </c>
      <c r="D19" s="6" t="s">
        <v>16</v>
      </c>
      <c r="E19" s="5" t="s">
        <v>94</v>
      </c>
      <c r="F19" s="5" t="s">
        <v>95</v>
      </c>
      <c r="G19" s="5" t="s">
        <v>74</v>
      </c>
      <c r="H19" s="7" t="n">
        <v>5</v>
      </c>
      <c r="I19" s="5" t="s">
        <v>96</v>
      </c>
      <c r="J19" s="7" t="n">
        <v>0</v>
      </c>
      <c r="K19" s="4" t="n">
        <f aca="false">H19+J19</f>
        <v>5</v>
      </c>
      <c r="L19" s="5" t="s">
        <v>97</v>
      </c>
    </row>
    <row r="20" customFormat="false" ht="46.25" hidden="false" customHeight="false" outlineLevel="0" collapsed="false">
      <c r="A20" s="4" t="n">
        <v>16</v>
      </c>
      <c r="B20" s="5" t="s">
        <v>98</v>
      </c>
      <c r="C20" s="5" t="s">
        <v>78</v>
      </c>
      <c r="D20" s="6" t="s">
        <v>16</v>
      </c>
      <c r="E20" s="5" t="s">
        <v>99</v>
      </c>
      <c r="F20" s="5" t="s">
        <v>100</v>
      </c>
      <c r="G20" s="5" t="s">
        <v>74</v>
      </c>
      <c r="H20" s="7" t="n">
        <v>5</v>
      </c>
      <c r="I20" s="5" t="s">
        <v>101</v>
      </c>
      <c r="J20" s="7" t="n">
        <v>0</v>
      </c>
      <c r="K20" s="4" t="n">
        <f aca="false">H20+J20</f>
        <v>5</v>
      </c>
      <c r="L20" s="5" t="s">
        <v>102</v>
      </c>
    </row>
    <row r="21" customFormat="false" ht="35.05" hidden="false" customHeight="false" outlineLevel="0" collapsed="false">
      <c r="A21" s="4" t="n">
        <v>17</v>
      </c>
      <c r="B21" s="5" t="s">
        <v>103</v>
      </c>
      <c r="C21" s="5" t="s">
        <v>78</v>
      </c>
      <c r="D21" s="6" t="s">
        <v>16</v>
      </c>
      <c r="E21" s="5" t="s">
        <v>104</v>
      </c>
      <c r="F21" s="5" t="s">
        <v>105</v>
      </c>
      <c r="G21" s="5" t="s">
        <v>19</v>
      </c>
      <c r="H21" s="7" t="n">
        <v>5</v>
      </c>
      <c r="I21" s="5" t="s">
        <v>106</v>
      </c>
      <c r="J21" s="7" t="n">
        <v>0</v>
      </c>
      <c r="K21" s="4" t="n">
        <f aca="false">H21+J21</f>
        <v>5</v>
      </c>
      <c r="L21" s="5" t="s">
        <v>107</v>
      </c>
    </row>
    <row r="22" customFormat="false" ht="35.05" hidden="false" customHeight="false" outlineLevel="0" collapsed="false">
      <c r="A22" s="4" t="n">
        <v>18</v>
      </c>
      <c r="B22" s="5" t="s">
        <v>108</v>
      </c>
      <c r="C22" s="5" t="s">
        <v>109</v>
      </c>
      <c r="D22" s="6" t="s">
        <v>16</v>
      </c>
      <c r="E22" s="5" t="s">
        <v>110</v>
      </c>
      <c r="F22" s="5" t="s">
        <v>111</v>
      </c>
      <c r="G22" s="5" t="s">
        <v>53</v>
      </c>
      <c r="H22" s="7" t="n">
        <v>5</v>
      </c>
      <c r="I22" s="5" t="s">
        <v>112</v>
      </c>
      <c r="J22" s="7" t="n">
        <v>0</v>
      </c>
      <c r="K22" s="4" t="n">
        <f aca="false">H22+J22</f>
        <v>5</v>
      </c>
      <c r="L22" s="5" t="s">
        <v>113</v>
      </c>
    </row>
    <row r="23" customFormat="false" ht="46.25" hidden="false" customHeight="false" outlineLevel="0" collapsed="false">
      <c r="A23" s="4" t="n">
        <v>19</v>
      </c>
      <c r="B23" s="5" t="s">
        <v>114</v>
      </c>
      <c r="C23" s="5" t="s">
        <v>109</v>
      </c>
      <c r="D23" s="6" t="s">
        <v>16</v>
      </c>
      <c r="E23" s="5" t="s">
        <v>115</v>
      </c>
      <c r="F23" s="5" t="s">
        <v>116</v>
      </c>
      <c r="G23" s="5" t="s">
        <v>36</v>
      </c>
      <c r="H23" s="7" t="n">
        <v>5</v>
      </c>
      <c r="I23" s="5" t="s">
        <v>117</v>
      </c>
      <c r="J23" s="7" t="n">
        <v>0</v>
      </c>
      <c r="K23" s="4" t="n">
        <f aca="false">H23+J23</f>
        <v>5</v>
      </c>
      <c r="L23" s="5" t="s">
        <v>118</v>
      </c>
    </row>
    <row r="24" customFormat="false" ht="35.05" hidden="false" customHeight="false" outlineLevel="0" collapsed="false">
      <c r="A24" s="4" t="n">
        <v>20</v>
      </c>
      <c r="B24" s="5" t="s">
        <v>119</v>
      </c>
      <c r="C24" s="5" t="s">
        <v>109</v>
      </c>
      <c r="D24" s="6" t="s">
        <v>16</v>
      </c>
      <c r="E24" s="5" t="s">
        <v>120</v>
      </c>
      <c r="F24" s="5" t="s">
        <v>121</v>
      </c>
      <c r="G24" s="5" t="s">
        <v>36</v>
      </c>
      <c r="H24" s="7" t="n">
        <v>5</v>
      </c>
      <c r="I24" s="5" t="s">
        <v>122</v>
      </c>
      <c r="J24" s="7" t="n">
        <v>0</v>
      </c>
      <c r="K24" s="4" t="n">
        <f aca="false">H24+J24</f>
        <v>5</v>
      </c>
      <c r="L24" s="5" t="s">
        <v>123</v>
      </c>
    </row>
    <row r="25" customFormat="false" ht="35.05" hidden="false" customHeight="false" outlineLevel="0" collapsed="false">
      <c r="A25" s="4" t="n">
        <v>21</v>
      </c>
      <c r="B25" s="5" t="s">
        <v>124</v>
      </c>
      <c r="C25" s="5" t="s">
        <v>109</v>
      </c>
      <c r="D25" s="6" t="s">
        <v>16</v>
      </c>
      <c r="E25" s="5" t="s">
        <v>125</v>
      </c>
      <c r="F25" s="5" t="s">
        <v>126</v>
      </c>
      <c r="G25" s="5" t="s">
        <v>19</v>
      </c>
      <c r="H25" s="7" t="n">
        <v>5</v>
      </c>
      <c r="I25" s="5" t="s">
        <v>127</v>
      </c>
      <c r="J25" s="7" t="n">
        <v>0</v>
      </c>
      <c r="K25" s="4" t="n">
        <f aca="false">H25+J25</f>
        <v>5</v>
      </c>
      <c r="L25" s="5" t="s">
        <v>128</v>
      </c>
    </row>
    <row r="26" customFormat="false" ht="35.05" hidden="false" customHeight="false" outlineLevel="0" collapsed="false">
      <c r="A26" s="4" t="n">
        <v>22</v>
      </c>
      <c r="B26" s="5" t="s">
        <v>129</v>
      </c>
      <c r="C26" s="5" t="s">
        <v>109</v>
      </c>
      <c r="D26" s="6" t="s">
        <v>16</v>
      </c>
      <c r="E26" s="5" t="s">
        <v>130</v>
      </c>
      <c r="F26" s="5" t="s">
        <v>131</v>
      </c>
      <c r="G26" s="5" t="s">
        <v>19</v>
      </c>
      <c r="H26" s="7" t="n">
        <v>5</v>
      </c>
      <c r="I26" s="5" t="s">
        <v>132</v>
      </c>
      <c r="J26" s="7" t="n">
        <v>0</v>
      </c>
      <c r="K26" s="4" t="n">
        <f aca="false">H26+J26</f>
        <v>5</v>
      </c>
      <c r="L26" s="5" t="s">
        <v>133</v>
      </c>
    </row>
    <row r="27" customFormat="false" ht="35.05" hidden="false" customHeight="false" outlineLevel="0" collapsed="false">
      <c r="A27" s="4" t="n">
        <v>23</v>
      </c>
      <c r="B27" s="5" t="s">
        <v>134</v>
      </c>
      <c r="C27" s="5" t="s">
        <v>135</v>
      </c>
      <c r="D27" s="6" t="s">
        <v>16</v>
      </c>
      <c r="E27" s="5" t="s">
        <v>136</v>
      </c>
      <c r="F27" s="5" t="s">
        <v>137</v>
      </c>
      <c r="G27" s="5" t="s">
        <v>53</v>
      </c>
      <c r="H27" s="7" t="n">
        <v>5</v>
      </c>
      <c r="I27" s="5" t="s">
        <v>138</v>
      </c>
      <c r="J27" s="7" t="n">
        <v>0</v>
      </c>
      <c r="K27" s="4" t="n">
        <f aca="false">H27+J27</f>
        <v>5</v>
      </c>
      <c r="L27" s="5" t="s">
        <v>139</v>
      </c>
    </row>
    <row r="28" customFormat="false" ht="35.05" hidden="false" customHeight="false" outlineLevel="0" collapsed="false">
      <c r="A28" s="4" t="n">
        <v>24</v>
      </c>
      <c r="B28" s="5" t="s">
        <v>140</v>
      </c>
      <c r="C28" s="5" t="s">
        <v>135</v>
      </c>
      <c r="D28" s="6" t="s">
        <v>16</v>
      </c>
      <c r="E28" s="5" t="s">
        <v>141</v>
      </c>
      <c r="F28" s="5" t="s">
        <v>142</v>
      </c>
      <c r="G28" s="5" t="s">
        <v>143</v>
      </c>
      <c r="H28" s="7" t="n">
        <v>5</v>
      </c>
      <c r="I28" s="5" t="s">
        <v>144</v>
      </c>
      <c r="J28" s="7" t="n">
        <v>0</v>
      </c>
      <c r="K28" s="4" t="n">
        <f aca="false">H28+J28</f>
        <v>5</v>
      </c>
      <c r="L28" s="5" t="s">
        <v>145</v>
      </c>
    </row>
    <row r="29" customFormat="false" ht="35.05" hidden="false" customHeight="false" outlineLevel="0" collapsed="false">
      <c r="A29" s="4" t="n">
        <v>25</v>
      </c>
      <c r="B29" s="5" t="s">
        <v>146</v>
      </c>
      <c r="C29" s="5" t="s">
        <v>135</v>
      </c>
      <c r="D29" s="6" t="s">
        <v>16</v>
      </c>
      <c r="E29" s="5" t="s">
        <v>147</v>
      </c>
      <c r="F29" s="5" t="s">
        <v>148</v>
      </c>
      <c r="G29" s="5" t="s">
        <v>19</v>
      </c>
      <c r="H29" s="7" t="n">
        <v>5</v>
      </c>
      <c r="I29" s="5" t="s">
        <v>149</v>
      </c>
      <c r="J29" s="7" t="n">
        <v>0</v>
      </c>
      <c r="K29" s="4" t="n">
        <f aca="false">H29+J29</f>
        <v>5</v>
      </c>
      <c r="L29" s="5" t="s">
        <v>150</v>
      </c>
    </row>
    <row r="30" customFormat="false" ht="35.05" hidden="false" customHeight="false" outlineLevel="0" collapsed="false">
      <c r="A30" s="4" t="n">
        <v>26</v>
      </c>
      <c r="B30" s="5" t="s">
        <v>151</v>
      </c>
      <c r="C30" s="5" t="s">
        <v>135</v>
      </c>
      <c r="D30" s="6" t="s">
        <v>16</v>
      </c>
      <c r="E30" s="5" t="s">
        <v>152</v>
      </c>
      <c r="F30" s="5" t="s">
        <v>153</v>
      </c>
      <c r="G30" s="5" t="s">
        <v>19</v>
      </c>
      <c r="H30" s="7" t="n">
        <v>5</v>
      </c>
      <c r="I30" s="5" t="s">
        <v>154</v>
      </c>
      <c r="J30" s="7" t="n">
        <v>0</v>
      </c>
      <c r="K30" s="4" t="n">
        <f aca="false">H30+J30</f>
        <v>5</v>
      </c>
      <c r="L30" s="5" t="s">
        <v>155</v>
      </c>
    </row>
    <row r="31" customFormat="false" ht="35.05" hidden="false" customHeight="false" outlineLevel="0" collapsed="false">
      <c r="A31" s="4" t="n">
        <v>27</v>
      </c>
      <c r="B31" s="5" t="s">
        <v>156</v>
      </c>
      <c r="C31" s="5" t="s">
        <v>135</v>
      </c>
      <c r="D31" s="6" t="s">
        <v>16</v>
      </c>
      <c r="E31" s="5" t="s">
        <v>157</v>
      </c>
      <c r="F31" s="5" t="s">
        <v>158</v>
      </c>
      <c r="G31" s="5" t="s">
        <v>36</v>
      </c>
      <c r="H31" s="7" t="n">
        <v>5</v>
      </c>
      <c r="I31" s="5" t="s">
        <v>159</v>
      </c>
      <c r="J31" s="7" t="n">
        <v>0</v>
      </c>
      <c r="K31" s="4" t="n">
        <f aca="false">H31+J31</f>
        <v>5</v>
      </c>
      <c r="L31" s="5" t="s">
        <v>160</v>
      </c>
    </row>
    <row r="32" customFormat="false" ht="35.05" hidden="false" customHeight="false" outlineLevel="0" collapsed="false">
      <c r="A32" s="4" t="n">
        <v>28</v>
      </c>
      <c r="B32" s="5" t="s">
        <v>161</v>
      </c>
      <c r="C32" s="5" t="s">
        <v>135</v>
      </c>
      <c r="D32" s="6" t="s">
        <v>16</v>
      </c>
      <c r="E32" s="5" t="s">
        <v>162</v>
      </c>
      <c r="F32" s="5" t="s">
        <v>163</v>
      </c>
      <c r="G32" s="5" t="s">
        <v>19</v>
      </c>
      <c r="H32" s="7" t="n">
        <v>5</v>
      </c>
      <c r="I32" s="5" t="s">
        <v>164</v>
      </c>
      <c r="J32" s="7" t="n">
        <v>0</v>
      </c>
      <c r="K32" s="4" t="n">
        <f aca="false">H32+J32</f>
        <v>5</v>
      </c>
      <c r="L32" s="5" t="s">
        <v>165</v>
      </c>
    </row>
    <row r="33" customFormat="false" ht="35.05" hidden="false" customHeight="false" outlineLevel="0" collapsed="false">
      <c r="A33" s="4" t="n">
        <v>29</v>
      </c>
      <c r="B33" s="5" t="s">
        <v>166</v>
      </c>
      <c r="C33" s="5" t="s">
        <v>167</v>
      </c>
      <c r="D33" s="6" t="s">
        <v>16</v>
      </c>
      <c r="E33" s="5" t="s">
        <v>168</v>
      </c>
      <c r="F33" s="5" t="s">
        <v>169</v>
      </c>
      <c r="G33" s="5" t="s">
        <v>19</v>
      </c>
      <c r="H33" s="7" t="n">
        <v>5</v>
      </c>
      <c r="I33" s="5" t="s">
        <v>170</v>
      </c>
      <c r="J33" s="7" t="n">
        <v>1</v>
      </c>
      <c r="K33" s="4" t="n">
        <f aca="false">H33+J33</f>
        <v>6</v>
      </c>
      <c r="L33" s="5" t="s">
        <v>171</v>
      </c>
    </row>
    <row r="34" customFormat="false" ht="46.25" hidden="false" customHeight="false" outlineLevel="0" collapsed="false">
      <c r="A34" s="4" t="n">
        <v>30</v>
      </c>
      <c r="B34" s="5" t="s">
        <v>172</v>
      </c>
      <c r="C34" s="5" t="s">
        <v>167</v>
      </c>
      <c r="D34" s="6" t="s">
        <v>16</v>
      </c>
      <c r="E34" s="5" t="s">
        <v>173</v>
      </c>
      <c r="F34" s="5" t="s">
        <v>174</v>
      </c>
      <c r="G34" s="5" t="s">
        <v>74</v>
      </c>
      <c r="H34" s="7" t="n">
        <v>5</v>
      </c>
      <c r="I34" s="5" t="s">
        <v>175</v>
      </c>
      <c r="J34" s="7" t="n">
        <v>0</v>
      </c>
      <c r="K34" s="4" t="n">
        <f aca="false">H34+J34</f>
        <v>5</v>
      </c>
      <c r="L34" s="5" t="s">
        <v>176</v>
      </c>
    </row>
    <row r="35" customFormat="false" ht="35.05" hidden="false" customHeight="false" outlineLevel="0" collapsed="false">
      <c r="A35" s="4" t="n">
        <v>31</v>
      </c>
      <c r="B35" s="5" t="s">
        <v>177</v>
      </c>
      <c r="C35" s="5" t="s">
        <v>167</v>
      </c>
      <c r="D35" s="6" t="s">
        <v>16</v>
      </c>
      <c r="E35" s="5" t="s">
        <v>178</v>
      </c>
      <c r="F35" s="5" t="s">
        <v>179</v>
      </c>
      <c r="G35" s="5" t="s">
        <v>53</v>
      </c>
      <c r="H35" s="7" t="n">
        <v>5</v>
      </c>
      <c r="I35" s="5" t="s">
        <v>180</v>
      </c>
      <c r="J35" s="7" t="n">
        <v>0</v>
      </c>
      <c r="K35" s="4" t="n">
        <f aca="false">H35+J35</f>
        <v>5</v>
      </c>
      <c r="L35" s="5" t="s">
        <v>181</v>
      </c>
    </row>
    <row r="36" customFormat="false" ht="35.05" hidden="false" customHeight="false" outlineLevel="0" collapsed="false">
      <c r="A36" s="4" t="n">
        <v>32</v>
      </c>
      <c r="B36" s="5" t="s">
        <v>182</v>
      </c>
      <c r="C36" s="5" t="s">
        <v>167</v>
      </c>
      <c r="D36" s="6" t="s">
        <v>16</v>
      </c>
      <c r="E36" s="5" t="s">
        <v>183</v>
      </c>
      <c r="F36" s="5" t="s">
        <v>184</v>
      </c>
      <c r="G36" s="5" t="s">
        <v>53</v>
      </c>
      <c r="H36" s="7" t="n">
        <v>5</v>
      </c>
      <c r="I36" s="5" t="s">
        <v>185</v>
      </c>
      <c r="J36" s="7" t="n">
        <v>0</v>
      </c>
      <c r="K36" s="4" t="n">
        <f aca="false">H36+J36</f>
        <v>5</v>
      </c>
      <c r="L36" s="5" t="s">
        <v>186</v>
      </c>
    </row>
    <row r="37" customFormat="false" ht="46.25" hidden="false" customHeight="false" outlineLevel="0" collapsed="false">
      <c r="A37" s="4" t="n">
        <v>33</v>
      </c>
      <c r="B37" s="5" t="s">
        <v>187</v>
      </c>
      <c r="C37" s="5" t="s">
        <v>167</v>
      </c>
      <c r="D37" s="6" t="s">
        <v>16</v>
      </c>
      <c r="E37" s="5" t="s">
        <v>188</v>
      </c>
      <c r="F37" s="5" t="s">
        <v>189</v>
      </c>
      <c r="G37" s="5" t="s">
        <v>19</v>
      </c>
      <c r="H37" s="7" t="n">
        <v>5</v>
      </c>
      <c r="I37" s="5" t="s">
        <v>190</v>
      </c>
      <c r="J37" s="7" t="n">
        <v>0</v>
      </c>
      <c r="K37" s="4" t="n">
        <f aca="false">H37+J37</f>
        <v>5</v>
      </c>
      <c r="L37" s="5" t="s">
        <v>191</v>
      </c>
    </row>
    <row r="38" customFormat="false" ht="35.05" hidden="false" customHeight="false" outlineLevel="0" collapsed="false">
      <c r="A38" s="4" t="n">
        <v>34</v>
      </c>
      <c r="B38" s="5" t="s">
        <v>192</v>
      </c>
      <c r="C38" s="5" t="s">
        <v>167</v>
      </c>
      <c r="D38" s="6" t="s">
        <v>16</v>
      </c>
      <c r="E38" s="5" t="s">
        <v>193</v>
      </c>
      <c r="F38" s="5" t="s">
        <v>194</v>
      </c>
      <c r="G38" s="5" t="s">
        <v>19</v>
      </c>
      <c r="H38" s="7" t="n">
        <v>5</v>
      </c>
      <c r="I38" s="5" t="s">
        <v>195</v>
      </c>
      <c r="J38" s="7" t="n">
        <v>0</v>
      </c>
      <c r="K38" s="4" t="n">
        <f aca="false">H38+J38</f>
        <v>5</v>
      </c>
      <c r="L38" s="5" t="s">
        <v>196</v>
      </c>
    </row>
    <row r="39" customFormat="false" ht="57.45" hidden="false" customHeight="false" outlineLevel="0" collapsed="false">
      <c r="A39" s="4" t="n">
        <v>35</v>
      </c>
      <c r="B39" s="5" t="s">
        <v>197</v>
      </c>
      <c r="C39" s="5" t="s">
        <v>78</v>
      </c>
      <c r="D39" s="6" t="s">
        <v>198</v>
      </c>
      <c r="E39" s="5" t="s">
        <v>199</v>
      </c>
      <c r="F39" s="5" t="s">
        <v>200</v>
      </c>
      <c r="G39" s="5" t="s">
        <v>201</v>
      </c>
      <c r="H39" s="7" t="n">
        <v>2</v>
      </c>
      <c r="I39" s="5" t="s">
        <v>202</v>
      </c>
      <c r="J39" s="7" t="n">
        <v>-1</v>
      </c>
      <c r="K39" s="4" t="n">
        <f aca="false">H39+J39</f>
        <v>1</v>
      </c>
      <c r="L39" s="5" t="s">
        <v>203</v>
      </c>
    </row>
    <row r="40" customFormat="false" ht="35.05" hidden="false" customHeight="false" outlineLevel="0" collapsed="false">
      <c r="A40" s="4" t="n">
        <v>36</v>
      </c>
      <c r="B40" s="5" t="s">
        <v>204</v>
      </c>
      <c r="C40" s="5" t="s">
        <v>109</v>
      </c>
      <c r="D40" s="6" t="s">
        <v>198</v>
      </c>
      <c r="E40" s="5" t="s">
        <v>205</v>
      </c>
      <c r="F40" s="5" t="s">
        <v>206</v>
      </c>
      <c r="G40" s="5" t="s">
        <v>207</v>
      </c>
      <c r="H40" s="7" t="n">
        <v>2</v>
      </c>
      <c r="I40" s="5" t="s">
        <v>208</v>
      </c>
      <c r="J40" s="7" t="n">
        <v>-1</v>
      </c>
      <c r="K40" s="4" t="n">
        <f aca="false">H40+J40</f>
        <v>1</v>
      </c>
      <c r="L40" s="5" t="s">
        <v>209</v>
      </c>
    </row>
    <row r="41" customFormat="false" ht="46.25" hidden="false" customHeight="false" outlineLevel="0" collapsed="false">
      <c r="A41" s="4" t="n">
        <v>37</v>
      </c>
      <c r="B41" s="5" t="s">
        <v>210</v>
      </c>
      <c r="C41" s="5" t="s">
        <v>167</v>
      </c>
      <c r="D41" s="6" t="s">
        <v>198</v>
      </c>
      <c r="E41" s="5" t="s">
        <v>211</v>
      </c>
      <c r="F41" s="5" t="s">
        <v>212</v>
      </c>
      <c r="G41" s="5" t="s">
        <v>213</v>
      </c>
      <c r="H41" s="7" t="n">
        <v>1</v>
      </c>
      <c r="I41" s="5" t="s">
        <v>214</v>
      </c>
      <c r="J41" s="7" t="n">
        <v>-1</v>
      </c>
      <c r="K41" s="4" t="n">
        <f aca="false">H41+J41</f>
        <v>0</v>
      </c>
      <c r="L41" s="5" t="s">
        <v>215</v>
      </c>
    </row>
    <row r="42" customFormat="false" ht="46.25" hidden="false" customHeight="false" outlineLevel="0" collapsed="false">
      <c r="A42" s="4" t="n">
        <v>38</v>
      </c>
      <c r="B42" s="5" t="s">
        <v>216</v>
      </c>
      <c r="C42" s="5" t="s">
        <v>167</v>
      </c>
      <c r="D42" s="6" t="s">
        <v>198</v>
      </c>
      <c r="E42" s="5" t="s">
        <v>217</v>
      </c>
      <c r="F42" s="5" t="s">
        <v>218</v>
      </c>
      <c r="G42" s="5" t="s">
        <v>219</v>
      </c>
      <c r="H42" s="7" t="n">
        <v>1</v>
      </c>
      <c r="I42" s="5" t="s">
        <v>220</v>
      </c>
      <c r="J42" s="7" t="n">
        <v>-1</v>
      </c>
      <c r="K42" s="4" t="n">
        <f aca="false">H42+J42</f>
        <v>0</v>
      </c>
      <c r="L42" s="5" t="s">
        <v>221</v>
      </c>
    </row>
    <row r="43" customFormat="false" ht="46.25" hidden="false" customHeight="false" outlineLevel="0" collapsed="false">
      <c r="A43" s="4" t="n">
        <v>39</v>
      </c>
      <c r="B43" s="5" t="s">
        <v>222</v>
      </c>
      <c r="C43" s="5" t="s">
        <v>50</v>
      </c>
      <c r="D43" s="6" t="s">
        <v>198</v>
      </c>
      <c r="E43" s="5" t="s">
        <v>223</v>
      </c>
      <c r="F43" s="5" t="s">
        <v>224</v>
      </c>
      <c r="G43" s="5" t="s">
        <v>219</v>
      </c>
      <c r="H43" s="7" t="n">
        <v>1</v>
      </c>
      <c r="I43" s="5" t="s">
        <v>225</v>
      </c>
      <c r="J43" s="7" t="n">
        <v>-1</v>
      </c>
      <c r="K43" s="4" t="n">
        <f aca="false">H43+J43</f>
        <v>0</v>
      </c>
      <c r="L43" s="5" t="s">
        <v>226</v>
      </c>
    </row>
    <row r="44" customFormat="false" ht="46.25" hidden="false" customHeight="false" outlineLevel="0" collapsed="false">
      <c r="A44" s="4" t="n">
        <v>40</v>
      </c>
      <c r="B44" s="5" t="s">
        <v>227</v>
      </c>
      <c r="C44" s="5" t="s">
        <v>78</v>
      </c>
      <c r="D44" s="6" t="s">
        <v>198</v>
      </c>
      <c r="E44" s="5" t="s">
        <v>228</v>
      </c>
      <c r="F44" s="5" t="s">
        <v>229</v>
      </c>
      <c r="G44" s="5" t="s">
        <v>230</v>
      </c>
      <c r="H44" s="7" t="n">
        <v>1</v>
      </c>
      <c r="I44" s="5" t="s">
        <v>231</v>
      </c>
      <c r="J44" s="7" t="n">
        <v>0</v>
      </c>
      <c r="K44" s="4" t="n">
        <f aca="false">H44+J44</f>
        <v>1</v>
      </c>
      <c r="L44" s="5" t="s">
        <v>232</v>
      </c>
    </row>
    <row r="45" customFormat="false" ht="46.25" hidden="false" customHeight="false" outlineLevel="0" collapsed="false">
      <c r="A45" s="4" t="n">
        <v>41</v>
      </c>
      <c r="B45" s="5" t="s">
        <v>233</v>
      </c>
      <c r="C45" s="5" t="s">
        <v>50</v>
      </c>
      <c r="D45" s="6" t="s">
        <v>198</v>
      </c>
      <c r="E45" s="5" t="s">
        <v>234</v>
      </c>
      <c r="F45" s="5" t="s">
        <v>235</v>
      </c>
      <c r="G45" s="5" t="s">
        <v>236</v>
      </c>
      <c r="H45" s="7" t="n">
        <v>1</v>
      </c>
      <c r="I45" s="5" t="s">
        <v>237</v>
      </c>
      <c r="J45" s="7" t="n">
        <v>-1</v>
      </c>
      <c r="K45" s="4" t="n">
        <f aca="false">H45+J45</f>
        <v>0</v>
      </c>
      <c r="L45" s="5" t="s">
        <v>238</v>
      </c>
    </row>
    <row r="46" customFormat="false" ht="46.25" hidden="false" customHeight="false" outlineLevel="0" collapsed="false">
      <c r="A46" s="4" t="n">
        <v>42</v>
      </c>
      <c r="B46" s="5" t="s">
        <v>239</v>
      </c>
      <c r="C46" s="5" t="s">
        <v>78</v>
      </c>
      <c r="D46" s="6" t="s">
        <v>198</v>
      </c>
      <c r="E46" s="5" t="s">
        <v>240</v>
      </c>
      <c r="F46" s="5" t="s">
        <v>241</v>
      </c>
      <c r="G46" s="5" t="s">
        <v>242</v>
      </c>
      <c r="H46" s="7" t="n">
        <v>1</v>
      </c>
      <c r="I46" s="5" t="s">
        <v>243</v>
      </c>
      <c r="J46" s="7" t="n">
        <v>-1</v>
      </c>
      <c r="K46" s="4" t="n">
        <f aca="false">H46+J46</f>
        <v>0</v>
      </c>
      <c r="L46" s="5" t="s">
        <v>244</v>
      </c>
    </row>
    <row r="47" customFormat="false" ht="46.25" hidden="false" customHeight="false" outlineLevel="0" collapsed="false">
      <c r="A47" s="4" t="n">
        <v>43</v>
      </c>
      <c r="B47" s="5" t="s">
        <v>245</v>
      </c>
      <c r="C47" s="5" t="s">
        <v>109</v>
      </c>
      <c r="D47" s="6" t="s">
        <v>198</v>
      </c>
      <c r="E47" s="5" t="s">
        <v>246</v>
      </c>
      <c r="F47" s="5" t="s">
        <v>247</v>
      </c>
      <c r="G47" s="5" t="s">
        <v>207</v>
      </c>
      <c r="H47" s="7" t="n">
        <v>2</v>
      </c>
      <c r="I47" s="5" t="s">
        <v>248</v>
      </c>
      <c r="J47" s="7" t="n">
        <v>-1</v>
      </c>
      <c r="K47" s="4" t="n">
        <f aca="false">H47+J47</f>
        <v>1</v>
      </c>
      <c r="L47" s="5" t="s">
        <v>249</v>
      </c>
    </row>
    <row r="48" customFormat="false" ht="46.25" hidden="false" customHeight="false" outlineLevel="0" collapsed="false">
      <c r="A48" s="4" t="n">
        <v>44</v>
      </c>
      <c r="B48" s="5" t="s">
        <v>250</v>
      </c>
      <c r="C48" s="5" t="s">
        <v>78</v>
      </c>
      <c r="D48" s="6" t="s">
        <v>198</v>
      </c>
      <c r="E48" s="5" t="s">
        <v>251</v>
      </c>
      <c r="F48" s="5" t="s">
        <v>252</v>
      </c>
      <c r="G48" s="5" t="s">
        <v>253</v>
      </c>
      <c r="H48" s="7" t="n">
        <v>2</v>
      </c>
      <c r="I48" s="5" t="s">
        <v>254</v>
      </c>
      <c r="J48" s="7" t="n">
        <v>2</v>
      </c>
      <c r="K48" s="4" t="n">
        <f aca="false">H48+J48</f>
        <v>4</v>
      </c>
      <c r="L48" s="5" t="s">
        <v>255</v>
      </c>
    </row>
    <row r="49" customFormat="false" ht="46.25" hidden="false" customHeight="false" outlineLevel="0" collapsed="false">
      <c r="A49" s="4" t="n">
        <v>45</v>
      </c>
      <c r="B49" s="5" t="s">
        <v>256</v>
      </c>
      <c r="C49" s="5" t="s">
        <v>15</v>
      </c>
      <c r="D49" s="6" t="s">
        <v>198</v>
      </c>
      <c r="E49" s="5" t="s">
        <v>257</v>
      </c>
      <c r="F49" s="5" t="s">
        <v>258</v>
      </c>
      <c r="G49" s="5" t="s">
        <v>259</v>
      </c>
      <c r="H49" s="7" t="n">
        <v>1</v>
      </c>
      <c r="I49" s="5" t="s">
        <v>260</v>
      </c>
      <c r="J49" s="7" t="n">
        <v>-1</v>
      </c>
      <c r="K49" s="4" t="n">
        <f aca="false">H49+J49</f>
        <v>0</v>
      </c>
      <c r="L49" s="5" t="s">
        <v>261</v>
      </c>
    </row>
    <row r="50" customFormat="false" ht="46.25" hidden="false" customHeight="false" outlineLevel="0" collapsed="false">
      <c r="A50" s="4" t="n">
        <v>46</v>
      </c>
      <c r="B50" s="5" t="s">
        <v>262</v>
      </c>
      <c r="C50" s="5" t="s">
        <v>78</v>
      </c>
      <c r="D50" s="6" t="s">
        <v>263</v>
      </c>
      <c r="E50" s="5" t="s">
        <v>264</v>
      </c>
      <c r="F50" s="5" t="s">
        <v>265</v>
      </c>
      <c r="G50" s="5" t="s">
        <v>266</v>
      </c>
      <c r="H50" s="7" t="n">
        <v>0</v>
      </c>
      <c r="I50" s="5" t="s">
        <v>267</v>
      </c>
      <c r="J50" s="7" t="n">
        <v>2</v>
      </c>
      <c r="K50" s="4" t="n">
        <f aca="false">H50+J50</f>
        <v>2</v>
      </c>
      <c r="L50" s="5" t="s">
        <v>268</v>
      </c>
    </row>
    <row r="51" customFormat="false" ht="46.25" hidden="false" customHeight="false" outlineLevel="0" collapsed="false">
      <c r="A51" s="4" t="n">
        <v>47</v>
      </c>
      <c r="B51" s="5" t="s">
        <v>269</v>
      </c>
      <c r="C51" s="5" t="s">
        <v>78</v>
      </c>
      <c r="D51" s="6" t="s">
        <v>263</v>
      </c>
      <c r="E51" s="5" t="s">
        <v>270</v>
      </c>
      <c r="F51" s="5" t="s">
        <v>271</v>
      </c>
      <c r="G51" s="5" t="s">
        <v>272</v>
      </c>
      <c r="H51" s="7" t="n">
        <v>0</v>
      </c>
      <c r="I51" s="5" t="s">
        <v>273</v>
      </c>
      <c r="J51" s="7" t="n">
        <v>2</v>
      </c>
      <c r="K51" s="4" t="n">
        <f aca="false">H51+J51</f>
        <v>2</v>
      </c>
      <c r="L51" s="5" t="s">
        <v>274</v>
      </c>
    </row>
    <row r="52" customFormat="false" ht="46.25" hidden="false" customHeight="false" outlineLevel="0" collapsed="false">
      <c r="A52" s="4" t="n">
        <v>48</v>
      </c>
      <c r="B52" s="5" t="s">
        <v>275</v>
      </c>
      <c r="C52" s="5" t="s">
        <v>135</v>
      </c>
      <c r="D52" s="6" t="s">
        <v>263</v>
      </c>
      <c r="E52" s="5" t="s">
        <v>276</v>
      </c>
      <c r="F52" s="5" t="s">
        <v>277</v>
      </c>
      <c r="G52" s="5" t="s">
        <v>278</v>
      </c>
      <c r="H52" s="7" t="n">
        <v>0</v>
      </c>
      <c r="I52" s="5" t="s">
        <v>279</v>
      </c>
      <c r="J52" s="7" t="n">
        <v>2</v>
      </c>
      <c r="K52" s="4" t="n">
        <f aca="false">H52+J52</f>
        <v>2</v>
      </c>
      <c r="L52" s="5" t="s">
        <v>280</v>
      </c>
    </row>
    <row r="53" customFormat="false" ht="35.05" hidden="false" customHeight="false" outlineLevel="0" collapsed="false">
      <c r="A53" s="4" t="n">
        <v>49</v>
      </c>
      <c r="B53" s="5" t="s">
        <v>281</v>
      </c>
      <c r="C53" s="5" t="s">
        <v>109</v>
      </c>
      <c r="D53" s="6" t="s">
        <v>263</v>
      </c>
      <c r="E53" s="5" t="s">
        <v>282</v>
      </c>
      <c r="F53" s="5" t="s">
        <v>283</v>
      </c>
      <c r="G53" s="5" t="s">
        <v>284</v>
      </c>
      <c r="H53" s="7" t="n">
        <v>0</v>
      </c>
      <c r="I53" s="5" t="s">
        <v>285</v>
      </c>
      <c r="J53" s="7" t="n">
        <v>2</v>
      </c>
      <c r="K53" s="4" t="n">
        <f aca="false">H53+J53</f>
        <v>2</v>
      </c>
      <c r="L53" s="5" t="s">
        <v>286</v>
      </c>
    </row>
    <row r="54" customFormat="false" ht="46.25" hidden="false" customHeight="false" outlineLevel="0" collapsed="false">
      <c r="A54" s="4" t="n">
        <v>50</v>
      </c>
      <c r="B54" s="5" t="s">
        <v>287</v>
      </c>
      <c r="C54" s="5" t="s">
        <v>15</v>
      </c>
      <c r="D54" s="6" t="s">
        <v>263</v>
      </c>
      <c r="E54" s="5" t="s">
        <v>288</v>
      </c>
      <c r="F54" s="5" t="s">
        <v>289</v>
      </c>
      <c r="G54" s="5" t="s">
        <v>290</v>
      </c>
      <c r="H54" s="7" t="n">
        <v>0</v>
      </c>
      <c r="I54" s="5" t="s">
        <v>291</v>
      </c>
      <c r="J54" s="7" t="n">
        <v>2</v>
      </c>
      <c r="K54" s="4" t="n">
        <f aca="false">H54+J54</f>
        <v>2</v>
      </c>
      <c r="L54" s="5" t="s">
        <v>292</v>
      </c>
    </row>
    <row r="55" customFormat="false" ht="46.25" hidden="false" customHeight="false" outlineLevel="0" collapsed="false">
      <c r="A55" s="4" t="n">
        <v>51</v>
      </c>
      <c r="B55" s="5" t="s">
        <v>293</v>
      </c>
      <c r="C55" s="5" t="s">
        <v>135</v>
      </c>
      <c r="D55" s="6" t="s">
        <v>263</v>
      </c>
      <c r="E55" s="5" t="s">
        <v>294</v>
      </c>
      <c r="F55" s="5" t="s">
        <v>295</v>
      </c>
      <c r="G55" s="5" t="s">
        <v>296</v>
      </c>
      <c r="H55" s="7" t="n">
        <v>0</v>
      </c>
      <c r="I55" s="5" t="s">
        <v>297</v>
      </c>
      <c r="J55" s="7" t="n">
        <v>1</v>
      </c>
      <c r="K55" s="4" t="n">
        <f aca="false">H55+J55</f>
        <v>1</v>
      </c>
      <c r="L55" s="5" t="s">
        <v>298</v>
      </c>
    </row>
    <row r="56" customFormat="false" ht="46.25" hidden="false" customHeight="false" outlineLevel="0" collapsed="false">
      <c r="A56" s="4" t="n">
        <v>52</v>
      </c>
      <c r="B56" s="5" t="s">
        <v>299</v>
      </c>
      <c r="C56" s="5" t="s">
        <v>15</v>
      </c>
      <c r="D56" s="6" t="s">
        <v>263</v>
      </c>
      <c r="E56" s="5" t="s">
        <v>300</v>
      </c>
      <c r="F56" s="5" t="s">
        <v>301</v>
      </c>
      <c r="G56" s="5" t="s">
        <v>302</v>
      </c>
      <c r="H56" s="7" t="n">
        <v>0</v>
      </c>
      <c r="I56" s="5" t="s">
        <v>303</v>
      </c>
      <c r="J56" s="7" t="n">
        <v>1</v>
      </c>
      <c r="K56" s="4" t="n">
        <f aca="false">H56+J56</f>
        <v>1</v>
      </c>
      <c r="L56" s="5" t="s">
        <v>304</v>
      </c>
    </row>
    <row r="57" customFormat="false" ht="35.05" hidden="false" customHeight="false" outlineLevel="0" collapsed="false">
      <c r="A57" s="4" t="n">
        <v>53</v>
      </c>
      <c r="B57" s="5" t="s">
        <v>305</v>
      </c>
      <c r="C57" s="5" t="s">
        <v>50</v>
      </c>
      <c r="D57" s="6" t="s">
        <v>263</v>
      </c>
      <c r="E57" s="5" t="s">
        <v>306</v>
      </c>
      <c r="F57" s="5" t="s">
        <v>307</v>
      </c>
      <c r="G57" s="5" t="s">
        <v>308</v>
      </c>
      <c r="H57" s="7" t="n">
        <v>0</v>
      </c>
      <c r="I57" s="5" t="s">
        <v>309</v>
      </c>
      <c r="J57" s="7" t="n">
        <v>1</v>
      </c>
      <c r="K57" s="4" t="n">
        <f aca="false">H57+J57</f>
        <v>1</v>
      </c>
      <c r="L57" s="5" t="s">
        <v>310</v>
      </c>
    </row>
  </sheetData>
  <autoFilter ref="A4:L5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</cols>
  <sheetData>
    <row r="1" customFormat="false" ht="16.15" hidden="false" customHeight="false" outlineLevel="0" collapsed="false">
      <c r="A1" s="1" t="s">
        <v>311</v>
      </c>
    </row>
    <row r="3" customFormat="false" ht="15" hidden="false" customHeight="false" outlineLevel="0" collapsed="false">
      <c r="A3" s="8" t="s">
        <v>4</v>
      </c>
      <c r="B3" s="3" t="s">
        <v>16</v>
      </c>
      <c r="C3" s="3" t="s">
        <v>198</v>
      </c>
      <c r="D3" s="3" t="s">
        <v>263</v>
      </c>
      <c r="E3" s="3" t="s">
        <v>312</v>
      </c>
    </row>
    <row r="4" customFormat="false" ht="15" hidden="false" customHeight="false" outlineLevel="0" collapsed="false">
      <c r="A4" s="9" t="s">
        <v>15</v>
      </c>
      <c r="B4" s="4" t="n">
        <f aca="false">COUNTIFS(Негативы!$C$5:$C$57,$A4,Негативы!$D$5:$D$57,B$3)</f>
        <v>6</v>
      </c>
      <c r="C4" s="4" t="n">
        <f aca="false">COUNTIFS(Негативы!$C$5:$C$57,$A4,Негативы!$D$5:$D$57,C$3)</f>
        <v>1</v>
      </c>
      <c r="D4" s="4" t="n">
        <f aca="false">COUNTIFS(Негативы!$C$5:$C$57,$A4,Негативы!$D$5:$D$57,D$3)</f>
        <v>2</v>
      </c>
      <c r="E4" s="6" t="n">
        <f aca="false">SUM(B4:D4)</f>
        <v>9</v>
      </c>
    </row>
    <row r="5" customFormat="false" ht="15" hidden="false" customHeight="false" outlineLevel="0" collapsed="false">
      <c r="A5" s="9" t="s">
        <v>50</v>
      </c>
      <c r="B5" s="4" t="n">
        <f aca="false">COUNTIFS(Негативы!$C$5:$C$57,$A5,Негативы!$D$5:$D$57,B$3)</f>
        <v>5</v>
      </c>
      <c r="C5" s="4" t="n">
        <f aca="false">COUNTIFS(Негативы!$C$5:$C$57,$A5,Негативы!$D$5:$D$57,C$3)</f>
        <v>2</v>
      </c>
      <c r="D5" s="4" t="n">
        <f aca="false">COUNTIFS(Негативы!$C$5:$C$57,$A5,Негативы!$D$5:$D$57,D$3)</f>
        <v>1</v>
      </c>
      <c r="E5" s="6" t="n">
        <f aca="false">SUM(B5:D5)</f>
        <v>8</v>
      </c>
    </row>
    <row r="6" customFormat="false" ht="15" hidden="false" customHeight="false" outlineLevel="0" collapsed="false">
      <c r="A6" s="9" t="s">
        <v>78</v>
      </c>
      <c r="B6" s="4" t="n">
        <f aca="false">COUNTIFS(Негативы!$C$5:$C$57,$A6,Негативы!$D$5:$D$57,B$3)</f>
        <v>6</v>
      </c>
      <c r="C6" s="4" t="n">
        <f aca="false">COUNTIFS(Негативы!$C$5:$C$57,$A6,Негативы!$D$5:$D$57,C$3)</f>
        <v>4</v>
      </c>
      <c r="D6" s="4" t="n">
        <f aca="false">COUNTIFS(Негативы!$C$5:$C$57,$A6,Негативы!$D$5:$D$57,D$3)</f>
        <v>2</v>
      </c>
      <c r="E6" s="6" t="n">
        <f aca="false">SUM(B6:D6)</f>
        <v>12</v>
      </c>
    </row>
    <row r="7" customFormat="false" ht="15" hidden="false" customHeight="false" outlineLevel="0" collapsed="false">
      <c r="A7" s="9" t="s">
        <v>109</v>
      </c>
      <c r="B7" s="4" t="n">
        <f aca="false">COUNTIFS(Негативы!$C$5:$C$57,$A7,Негативы!$D$5:$D$57,B$3)</f>
        <v>5</v>
      </c>
      <c r="C7" s="4" t="n">
        <f aca="false">COUNTIFS(Негативы!$C$5:$C$57,$A7,Негативы!$D$5:$D$57,C$3)</f>
        <v>2</v>
      </c>
      <c r="D7" s="4" t="n">
        <f aca="false">COUNTIFS(Негативы!$C$5:$C$57,$A7,Негативы!$D$5:$D$57,D$3)</f>
        <v>1</v>
      </c>
      <c r="E7" s="6" t="n">
        <f aca="false">SUM(B7:D7)</f>
        <v>8</v>
      </c>
    </row>
    <row r="8" customFormat="false" ht="15" hidden="false" customHeight="false" outlineLevel="0" collapsed="false">
      <c r="A8" s="9" t="s">
        <v>135</v>
      </c>
      <c r="B8" s="4" t="n">
        <f aca="false">COUNTIFS(Негативы!$C$5:$C$57,$A8,Негативы!$D$5:$D$57,B$3)</f>
        <v>6</v>
      </c>
      <c r="C8" s="4" t="n">
        <f aca="false">COUNTIFS(Негативы!$C$5:$C$57,$A8,Негативы!$D$5:$D$57,C$3)</f>
        <v>0</v>
      </c>
      <c r="D8" s="4" t="n">
        <f aca="false">COUNTIFS(Негативы!$C$5:$C$57,$A8,Негативы!$D$5:$D$57,D$3)</f>
        <v>2</v>
      </c>
      <c r="E8" s="6" t="n">
        <f aca="false">SUM(B8:D8)</f>
        <v>8</v>
      </c>
    </row>
    <row r="9" customFormat="false" ht="15" hidden="false" customHeight="false" outlineLevel="0" collapsed="false">
      <c r="A9" s="9" t="s">
        <v>167</v>
      </c>
      <c r="B9" s="4" t="n">
        <f aca="false">COUNTIFS(Негативы!$C$5:$C$57,$A9,Негативы!$D$5:$D$57,B$3)</f>
        <v>6</v>
      </c>
      <c r="C9" s="4" t="n">
        <f aca="false">COUNTIFS(Негативы!$C$5:$C$57,$A9,Негативы!$D$5:$D$57,C$3)</f>
        <v>2</v>
      </c>
      <c r="D9" s="4" t="n">
        <f aca="false">COUNTIFS(Негативы!$C$5:$C$57,$A9,Негативы!$D$5:$D$57,D$3)</f>
        <v>0</v>
      </c>
      <c r="E9" s="6" t="n">
        <f aca="false">SUM(B9:D9)</f>
        <v>8</v>
      </c>
    </row>
    <row r="10" customFormat="false" ht="15" hidden="false" customHeight="false" outlineLevel="0" collapsed="false">
      <c r="A10" s="10" t="s">
        <v>312</v>
      </c>
      <c r="B10" s="6" t="n">
        <f aca="false">SUM(B4:B9)</f>
        <v>34</v>
      </c>
      <c r="C10" s="6" t="n">
        <f aca="false">SUM(C4:C9)</f>
        <v>11</v>
      </c>
      <c r="D10" s="6" t="n">
        <f aca="false">SUM(D4:D9)</f>
        <v>8</v>
      </c>
      <c r="E10" s="6" t="n">
        <f aca="false">SUM(E4:E9)</f>
        <v>53</v>
      </c>
    </row>
    <row r="12" customFormat="false" ht="15" hidden="false" customHeight="false" outlineLevel="0" collapsed="false">
      <c r="A12" s="11" t="s">
        <v>313</v>
      </c>
      <c r="B12" s="2" t="s">
        <v>314</v>
      </c>
      <c r="C12" s="2" t="s">
        <v>315</v>
      </c>
    </row>
    <row r="13" customFormat="false" ht="15" hidden="false" customHeight="false" outlineLevel="0" collapsed="false">
      <c r="A13" s="12" t="s">
        <v>16</v>
      </c>
      <c r="B13" s="13" t="n">
        <f aca="false">ROUND(AVERAGEIF(Негативы!$D$5:$D$57,A13,Негативы!$H$5:$H$57),1)</f>
        <v>5</v>
      </c>
      <c r="C13" s="13" t="n">
        <f aca="false">ROUND(AVERAGEIF(Негативы!$D$5:$D$57,A13,Негативы!$J$5:$J$57),1)</f>
        <v>0.1</v>
      </c>
    </row>
    <row r="14" customFormat="false" ht="15" hidden="false" customHeight="false" outlineLevel="0" collapsed="false">
      <c r="A14" s="12" t="s">
        <v>198</v>
      </c>
      <c r="B14" s="13" t="n">
        <f aca="false">ROUND(AVERAGEIF(Негативы!$D$5:$D$57,A14,Негативы!$H$5:$H$57),1)</f>
        <v>1.4</v>
      </c>
      <c r="C14" s="13" t="n">
        <f aca="false">ROUND(AVERAGEIF(Негативы!$D$5:$D$57,A14,Негативы!$J$5:$J$57),1)</f>
        <v>-0.6</v>
      </c>
    </row>
    <row r="15" customFormat="false" ht="15" hidden="false" customHeight="false" outlineLevel="0" collapsed="false">
      <c r="A15" s="12" t="s">
        <v>263</v>
      </c>
      <c r="B15" s="13" t="n">
        <f aca="false">ROUND(AVERAGEIF(Негативы!$D$5:$D$57,A15,Негативы!$H$5:$H$57),1)</f>
        <v>0</v>
      </c>
      <c r="C15" s="13" t="n">
        <f aca="false">ROUND(AVERAGEIF(Негативы!$D$5:$D$57,A15,Негативы!$J$5:$J$57),1)</f>
        <v>1.6</v>
      </c>
    </row>
    <row r="17" customFormat="false" ht="15" hidden="false" customHeight="false" outlineLevel="0" collapsed="false">
      <c r="A17" s="2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" t="s">
        <v>317</v>
      </c>
    </row>
    <row r="3" customFormat="false" ht="51.75" hidden="false" customHeight="true" outlineLevel="0" collapsed="false">
      <c r="A3" s="14" t="s">
        <v>318</v>
      </c>
      <c r="B3" s="15" t="s">
        <v>319</v>
      </c>
    </row>
    <row r="4" customFormat="false" ht="51.75" hidden="false" customHeight="true" outlineLevel="0" collapsed="false">
      <c r="A4" s="14" t="s">
        <v>320</v>
      </c>
      <c r="B4" s="15" t="s">
        <v>321</v>
      </c>
    </row>
    <row r="5" customFormat="false" ht="39" hidden="false" customHeight="true" outlineLevel="0" collapsed="false">
      <c r="A5" s="14" t="s">
        <v>322</v>
      </c>
      <c r="B5" s="15" t="s">
        <v>323</v>
      </c>
    </row>
    <row r="6" customFormat="false" ht="51.75" hidden="false" customHeight="true" outlineLevel="0" collapsed="false">
      <c r="A6" s="14" t="s">
        <v>324</v>
      </c>
      <c r="B6" s="15" t="s">
        <v>325</v>
      </c>
    </row>
    <row r="7" customFormat="false" ht="64.5" hidden="false" customHeight="true" outlineLevel="0" collapsed="false">
      <c r="A7" s="14" t="s">
        <v>326</v>
      </c>
      <c r="B7" s="15" t="s">
        <v>327</v>
      </c>
    </row>
    <row r="8" customFormat="false" ht="64.5" hidden="false" customHeight="true" outlineLevel="0" collapsed="false">
      <c r="A8" s="14" t="s">
        <v>328</v>
      </c>
      <c r="B8" s="15" t="s">
        <v>329</v>
      </c>
    </row>
    <row r="9" customFormat="false" ht="51.75" hidden="false" customHeight="true" outlineLevel="0" collapsed="false">
      <c r="A9" s="14" t="s">
        <v>330</v>
      </c>
      <c r="B9" s="15" t="s">
        <v>331</v>
      </c>
    </row>
    <row r="10" customFormat="false" ht="64.5" hidden="false" customHeight="true" outlineLevel="0" collapsed="false">
      <c r="A10" s="14" t="s">
        <v>13</v>
      </c>
      <c r="B10" s="15" t="s">
        <v>332</v>
      </c>
    </row>
    <row r="11" customFormat="false" ht="39" hidden="false" customHeight="true" outlineLevel="0" collapsed="false">
      <c r="A11" s="14" t="s">
        <v>333</v>
      </c>
      <c r="B11" s="15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2026-09-29T19:16:31Z</dcterms:created>
  <dc:creator>openpyxl</dc:creator>
  <dc:description/>
  <dc:language>en-US</dc:language>
  <cp:lastModifiedBy/>
  <dcterms:modified xsi:type="dcterms:W3CDTF">2026-09-29T19:16:31Z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